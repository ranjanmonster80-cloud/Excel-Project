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Excel project Ravi Ranjan/"/>
    </mc:Choice>
  </mc:AlternateContent>
  <xr:revisionPtr revIDLastSave="14" documentId="13_ncr:1_{6F77DB1F-6FEE-4A8C-8A37-A978217E9DDC}" xr6:coauthVersionLast="47" xr6:coauthVersionMax="47" xr10:uidLastSave="{AAC211C1-EBBE-40A8-BBBF-6F2D09409AF2}"/>
  <bookViews>
    <workbookView xWindow="-108" yWindow="-108" windowWidth="23256" windowHeight="12456" activeTab="3" xr2:uid="{6586F4EE-E791-4847-AB56-EECF211F9BF8}"/>
  </bookViews>
  <sheets>
    <sheet name="Posts" sheetId="1" r:id="rId1"/>
    <sheet name="Engagement Summary" sheetId="2" r:id="rId2"/>
    <sheet name="Campaign Metadata" sheetId="3" r:id="rId3"/>
    <sheet name="video link" sheetId="4" r:id="rId4"/>
  </sheets>
  <definedNames>
    <definedName name="ExternalData_1" localSheetId="0" hidden="1">Posts!$A:$M</definedName>
    <definedName name="ExternalData_2" localSheetId="1" hidden="1">'Engagement Summary'!$A$1:$G$201</definedName>
    <definedName name="ExternalData_3" localSheetId="2" hidden="1">'Campaign Metadata'!$A$1:$G$8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2" l="1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I17" i="2" s="1"/>
  <c r="H8" i="2"/>
  <c r="H7" i="2"/>
  <c r="H6" i="2"/>
  <c r="I5" i="2"/>
  <c r="H5" i="2"/>
  <c r="I153" i="2" s="1"/>
  <c r="H4" i="2"/>
  <c r="H3" i="2"/>
  <c r="H2" i="2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O145" i="1" s="1"/>
  <c r="N21" i="1"/>
  <c r="N20" i="1"/>
  <c r="N19" i="1"/>
  <c r="N18" i="1"/>
  <c r="N17" i="1"/>
  <c r="N16" i="1"/>
  <c r="N15" i="1"/>
  <c r="O25" i="1" s="1"/>
  <c r="N14" i="1"/>
  <c r="N13" i="1"/>
  <c r="N12" i="1"/>
  <c r="N11" i="1"/>
  <c r="N10" i="1"/>
  <c r="O13" i="1" s="1"/>
  <c r="N9" i="1"/>
  <c r="N8" i="1"/>
  <c r="N7" i="1"/>
  <c r="N6" i="1"/>
  <c r="O129" i="1" s="1"/>
  <c r="N5" i="1"/>
  <c r="N4" i="1"/>
  <c r="N3" i="1"/>
  <c r="N2" i="1"/>
  <c r="O138" i="1" s="1"/>
  <c r="I2" i="2" l="1"/>
  <c r="I37" i="2"/>
  <c r="I101" i="2"/>
  <c r="I199" i="2"/>
  <c r="I13" i="2"/>
  <c r="I45" i="2"/>
  <c r="I77" i="2"/>
  <c r="I109" i="2"/>
  <c r="I141" i="2"/>
  <c r="I69" i="2"/>
  <c r="I21" i="2"/>
  <c r="I53" i="2"/>
  <c r="I85" i="2"/>
  <c r="I117" i="2"/>
  <c r="I185" i="2"/>
  <c r="I133" i="2"/>
  <c r="I193" i="2"/>
  <c r="I148" i="2"/>
  <c r="I29" i="2"/>
  <c r="I61" i="2"/>
  <c r="I93" i="2"/>
  <c r="I125" i="2"/>
  <c r="I169" i="2"/>
  <c r="I200" i="2"/>
  <c r="I11" i="2"/>
  <c r="I19" i="2"/>
  <c r="I35" i="2"/>
  <c r="I59" i="2"/>
  <c r="I67" i="2"/>
  <c r="I91" i="2"/>
  <c r="I107" i="2"/>
  <c r="I123" i="2"/>
  <c r="I139" i="2"/>
  <c r="I173" i="2"/>
  <c r="I9" i="2"/>
  <c r="I25" i="2"/>
  <c r="I33" i="2"/>
  <c r="I41" i="2"/>
  <c r="I49" i="2"/>
  <c r="I57" i="2"/>
  <c r="I65" i="2"/>
  <c r="I73" i="2"/>
  <c r="I81" i="2"/>
  <c r="I89" i="2"/>
  <c r="I97" i="2"/>
  <c r="I105" i="2"/>
  <c r="I113" i="2"/>
  <c r="I121" i="2"/>
  <c r="I129" i="2"/>
  <c r="I137" i="2"/>
  <c r="I145" i="2"/>
  <c r="I161" i="2"/>
  <c r="I177" i="2"/>
  <c r="I110" i="2"/>
  <c r="I27" i="2"/>
  <c r="I43" i="2"/>
  <c r="I51" i="2"/>
  <c r="I75" i="2"/>
  <c r="I83" i="2"/>
  <c r="I99" i="2"/>
  <c r="I115" i="2"/>
  <c r="I131" i="2"/>
  <c r="I157" i="2"/>
  <c r="I189" i="2"/>
  <c r="I4" i="2"/>
  <c r="I201" i="2"/>
  <c r="I7" i="2"/>
  <c r="I15" i="2"/>
  <c r="I23" i="2"/>
  <c r="I31" i="2"/>
  <c r="I39" i="2"/>
  <c r="I47" i="2"/>
  <c r="I55" i="2"/>
  <c r="I63" i="2"/>
  <c r="I71" i="2"/>
  <c r="I79" i="2"/>
  <c r="I87" i="2"/>
  <c r="I95" i="2"/>
  <c r="I103" i="2"/>
  <c r="I111" i="2"/>
  <c r="I119" i="2"/>
  <c r="I127" i="2"/>
  <c r="I135" i="2"/>
  <c r="I143" i="2"/>
  <c r="I149" i="2"/>
  <c r="I165" i="2"/>
  <c r="I181" i="2"/>
  <c r="I197" i="2"/>
  <c r="O2" i="1"/>
  <c r="O303" i="1"/>
  <c r="O133" i="1"/>
  <c r="O15" i="1"/>
  <c r="O22" i="1"/>
  <c r="O7" i="1"/>
  <c r="O10" i="1"/>
  <c r="I3" i="2"/>
  <c r="I6" i="2"/>
  <c r="I10" i="2"/>
  <c r="I14" i="2"/>
  <c r="I18" i="2"/>
  <c r="I20" i="2"/>
  <c r="I24" i="2"/>
  <c r="I28" i="2"/>
  <c r="I32" i="2"/>
  <c r="I36" i="2"/>
  <c r="I40" i="2"/>
  <c r="I44" i="2"/>
  <c r="I48" i="2"/>
  <c r="I52" i="2"/>
  <c r="I56" i="2"/>
  <c r="I60" i="2"/>
  <c r="I62" i="2"/>
  <c r="I66" i="2"/>
  <c r="I70" i="2"/>
  <c r="I74" i="2"/>
  <c r="I78" i="2"/>
  <c r="I82" i="2"/>
  <c r="I86" i="2"/>
  <c r="I88" i="2"/>
  <c r="I92" i="2"/>
  <c r="I96" i="2"/>
  <c r="I100" i="2"/>
  <c r="I104" i="2"/>
  <c r="I108" i="2"/>
  <c r="I112" i="2"/>
  <c r="I114" i="2"/>
  <c r="I118" i="2"/>
  <c r="I122" i="2"/>
  <c r="I124" i="2"/>
  <c r="I126" i="2"/>
  <c r="I128" i="2"/>
  <c r="I130" i="2"/>
  <c r="I132" i="2"/>
  <c r="I134" i="2"/>
  <c r="I136" i="2"/>
  <c r="I138" i="2"/>
  <c r="I140" i="2"/>
  <c r="I142" i="2"/>
  <c r="I144" i="2"/>
  <c r="I146" i="2"/>
  <c r="I150" i="2"/>
  <c r="I152" i="2"/>
  <c r="I154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80" i="2"/>
  <c r="I182" i="2"/>
  <c r="I184" i="2"/>
  <c r="I186" i="2"/>
  <c r="I188" i="2"/>
  <c r="I190" i="2"/>
  <c r="I192" i="2"/>
  <c r="I194" i="2"/>
  <c r="I196" i="2"/>
  <c r="I198" i="2"/>
  <c r="I8" i="2"/>
  <c r="I12" i="2"/>
  <c r="I16" i="2"/>
  <c r="I22" i="2"/>
  <c r="I26" i="2"/>
  <c r="I30" i="2"/>
  <c r="I34" i="2"/>
  <c r="I38" i="2"/>
  <c r="I42" i="2"/>
  <c r="I46" i="2"/>
  <c r="I50" i="2"/>
  <c r="I54" i="2"/>
  <c r="I58" i="2"/>
  <c r="I64" i="2"/>
  <c r="I68" i="2"/>
  <c r="I72" i="2"/>
  <c r="I76" i="2"/>
  <c r="I80" i="2"/>
  <c r="I84" i="2"/>
  <c r="I90" i="2"/>
  <c r="I94" i="2"/>
  <c r="I98" i="2"/>
  <c r="I102" i="2"/>
  <c r="I106" i="2"/>
  <c r="I116" i="2"/>
  <c r="I120" i="2"/>
  <c r="I147" i="2"/>
  <c r="I151" i="2"/>
  <c r="I155" i="2"/>
  <c r="I159" i="2"/>
  <c r="I163" i="2"/>
  <c r="I167" i="2"/>
  <c r="I171" i="2"/>
  <c r="I175" i="2"/>
  <c r="I179" i="2"/>
  <c r="I183" i="2"/>
  <c r="I187" i="2"/>
  <c r="I191" i="2"/>
  <c r="I195" i="2"/>
  <c r="O5" i="1"/>
  <c r="O18" i="1"/>
  <c r="O21" i="1"/>
  <c r="O31" i="1"/>
  <c r="O34" i="1"/>
  <c r="O37" i="1"/>
  <c r="O47" i="1"/>
  <c r="O50" i="1"/>
  <c r="O53" i="1"/>
  <c r="O63" i="1"/>
  <c r="O66" i="1"/>
  <c r="O69" i="1"/>
  <c r="O79" i="1"/>
  <c r="O82" i="1"/>
  <c r="O85" i="1"/>
  <c r="O95" i="1"/>
  <c r="O98" i="1"/>
  <c r="O101" i="1"/>
  <c r="O111" i="1"/>
  <c r="O114" i="1"/>
  <c r="O117" i="1"/>
  <c r="O127" i="1"/>
  <c r="O130" i="1"/>
  <c r="O142" i="1"/>
  <c r="O147" i="1"/>
  <c r="O327" i="1"/>
  <c r="O323" i="1"/>
  <c r="O307" i="1"/>
  <c r="O287" i="1"/>
  <c r="O283" i="1"/>
  <c r="O275" i="1"/>
  <c r="O271" i="1"/>
  <c r="O267" i="1"/>
  <c r="O259" i="1"/>
  <c r="O255" i="1"/>
  <c r="O243" i="1"/>
  <c r="O239" i="1"/>
  <c r="O195" i="1"/>
  <c r="O171" i="1"/>
  <c r="O167" i="1"/>
  <c r="O336" i="1"/>
  <c r="O328" i="1"/>
  <c r="O280" i="1"/>
  <c r="O276" i="1"/>
  <c r="O272" i="1"/>
  <c r="O268" i="1"/>
  <c r="O260" i="1"/>
  <c r="O256" i="1"/>
  <c r="O252" i="1"/>
  <c r="O244" i="1"/>
  <c r="O236" i="1"/>
  <c r="O220" i="1"/>
  <c r="O192" i="1"/>
  <c r="O188" i="1"/>
  <c r="O184" i="1"/>
  <c r="O148" i="1"/>
  <c r="O140" i="1"/>
  <c r="O72" i="1"/>
  <c r="O56" i="1"/>
  <c r="O44" i="1"/>
  <c r="O28" i="1"/>
  <c r="O20" i="1"/>
  <c r="O16" i="1"/>
  <c r="O337" i="1"/>
  <c r="O329" i="1"/>
  <c r="O325" i="1"/>
  <c r="O309" i="1"/>
  <c r="O289" i="1"/>
  <c r="O285" i="1"/>
  <c r="O273" i="1"/>
  <c r="O257" i="1"/>
  <c r="O205" i="1"/>
  <c r="O177" i="1"/>
  <c r="O153" i="1"/>
  <c r="O326" i="1"/>
  <c r="O298" i="1"/>
  <c r="O286" i="1"/>
  <c r="O278" i="1"/>
  <c r="O274" i="1"/>
  <c r="O258" i="1"/>
  <c r="O246" i="1"/>
  <c r="O242" i="1"/>
  <c r="O238" i="1"/>
  <c r="O234" i="1"/>
  <c r="O218" i="1"/>
  <c r="O202" i="1"/>
  <c r="O198" i="1"/>
  <c r="O190" i="1"/>
  <c r="O174" i="1"/>
  <c r="O154" i="1"/>
  <c r="O150" i="1"/>
  <c r="O146" i="1"/>
  <c r="O11" i="1"/>
  <c r="O14" i="1"/>
  <c r="O17" i="1"/>
  <c r="O27" i="1"/>
  <c r="O30" i="1"/>
  <c r="O33" i="1"/>
  <c r="O43" i="1"/>
  <c r="O46" i="1"/>
  <c r="O49" i="1"/>
  <c r="O59" i="1"/>
  <c r="O62" i="1"/>
  <c r="O65" i="1"/>
  <c r="O75" i="1"/>
  <c r="O78" i="1"/>
  <c r="O81" i="1"/>
  <c r="O91" i="1"/>
  <c r="O94" i="1"/>
  <c r="O97" i="1"/>
  <c r="O107" i="1"/>
  <c r="O110" i="1"/>
  <c r="O113" i="1"/>
  <c r="O123" i="1"/>
  <c r="O126" i="1"/>
  <c r="O139" i="1"/>
  <c r="O319" i="1"/>
  <c r="O315" i="1"/>
  <c r="O311" i="1"/>
  <c r="O263" i="1"/>
  <c r="O231" i="1"/>
  <c r="O207" i="1"/>
  <c r="O187" i="1"/>
  <c r="O179" i="1"/>
  <c r="O320" i="1"/>
  <c r="O312" i="1"/>
  <c r="O284" i="1"/>
  <c r="O228" i="1"/>
  <c r="O204" i="1"/>
  <c r="O196" i="1"/>
  <c r="O180" i="1"/>
  <c r="O172" i="1"/>
  <c r="O160" i="1"/>
  <c r="O156" i="1"/>
  <c r="O152" i="1"/>
  <c r="O116" i="1"/>
  <c r="O112" i="1"/>
  <c r="O96" i="1"/>
  <c r="O80" i="1"/>
  <c r="O60" i="1"/>
  <c r="O32" i="1"/>
  <c r="O12" i="1"/>
  <c r="O8" i="1"/>
  <c r="O313" i="1"/>
  <c r="O305" i="1"/>
  <c r="O237" i="1"/>
  <c r="O233" i="1"/>
  <c r="O217" i="1"/>
  <c r="O197" i="1"/>
  <c r="O185" i="1"/>
  <c r="O165" i="1"/>
  <c r="O161" i="1"/>
  <c r="O157" i="1"/>
  <c r="O322" i="1"/>
  <c r="O314" i="1"/>
  <c r="O302" i="1"/>
  <c r="O294" i="1"/>
  <c r="O270" i="1"/>
  <c r="O210" i="1"/>
  <c r="O206" i="1"/>
  <c r="O170" i="1"/>
  <c r="O158" i="1"/>
  <c r="O23" i="1"/>
  <c r="O26" i="1"/>
  <c r="O29" i="1"/>
  <c r="O39" i="1"/>
  <c r="O42" i="1"/>
  <c r="O45" i="1"/>
  <c r="O55" i="1"/>
  <c r="O58" i="1"/>
  <c r="O61" i="1"/>
  <c r="O71" i="1"/>
  <c r="O74" i="1"/>
  <c r="O77" i="1"/>
  <c r="O87" i="1"/>
  <c r="O90" i="1"/>
  <c r="O93" i="1"/>
  <c r="O103" i="1"/>
  <c r="O106" i="1"/>
  <c r="O109" i="1"/>
  <c r="O119" i="1"/>
  <c r="O122" i="1"/>
  <c r="O125" i="1"/>
  <c r="O135" i="1"/>
  <c r="O339" i="1"/>
  <c r="O335" i="1"/>
  <c r="O331" i="1"/>
  <c r="O299" i="1"/>
  <c r="O247" i="1"/>
  <c r="O227" i="1"/>
  <c r="O223" i="1"/>
  <c r="O219" i="1"/>
  <c r="O215" i="1"/>
  <c r="O203" i="1"/>
  <c r="O175" i="1"/>
  <c r="O155" i="1"/>
  <c r="O151" i="1"/>
  <c r="O340" i="1"/>
  <c r="O332" i="1"/>
  <c r="O308" i="1"/>
  <c r="O296" i="1"/>
  <c r="O264" i="1"/>
  <c r="O240" i="1"/>
  <c r="O232" i="1"/>
  <c r="O224" i="1"/>
  <c r="O216" i="1"/>
  <c r="O200" i="1"/>
  <c r="O176" i="1"/>
  <c r="O168" i="1"/>
  <c r="O164" i="1"/>
  <c r="O128" i="1"/>
  <c r="O124" i="1"/>
  <c r="O120" i="1"/>
  <c r="O100" i="1"/>
  <c r="O84" i="1"/>
  <c r="O52" i="1"/>
  <c r="O4" i="1"/>
  <c r="O333" i="1"/>
  <c r="O317" i="1"/>
  <c r="O297" i="1"/>
  <c r="O281" i="1"/>
  <c r="O277" i="1"/>
  <c r="O269" i="1"/>
  <c r="O265" i="1"/>
  <c r="O245" i="1"/>
  <c r="O229" i="1"/>
  <c r="O225" i="1"/>
  <c r="O209" i="1"/>
  <c r="O189" i="1"/>
  <c r="O181" i="1"/>
  <c r="O141" i="1"/>
  <c r="O338" i="1"/>
  <c r="O334" i="1"/>
  <c r="O330" i="1"/>
  <c r="O318" i="1"/>
  <c r="O310" i="1"/>
  <c r="O306" i="1"/>
  <c r="O282" i="1"/>
  <c r="O266" i="1"/>
  <c r="O262" i="1"/>
  <c r="O254" i="1"/>
  <c r="O230" i="1"/>
  <c r="O226" i="1"/>
  <c r="O186" i="1"/>
  <c r="O182" i="1"/>
  <c r="O3" i="1"/>
  <c r="O6" i="1"/>
  <c r="O9" i="1"/>
  <c r="O19" i="1"/>
  <c r="O35" i="1"/>
  <c r="O38" i="1"/>
  <c r="O41" i="1"/>
  <c r="O51" i="1"/>
  <c r="O54" i="1"/>
  <c r="O57" i="1"/>
  <c r="O67" i="1"/>
  <c r="O70" i="1"/>
  <c r="O73" i="1"/>
  <c r="O83" i="1"/>
  <c r="O86" i="1"/>
  <c r="O89" i="1"/>
  <c r="O99" i="1"/>
  <c r="O102" i="1"/>
  <c r="O105" i="1"/>
  <c r="O115" i="1"/>
  <c r="O118" i="1"/>
  <c r="O121" i="1"/>
  <c r="O131" i="1"/>
  <c r="O134" i="1"/>
  <c r="O137" i="1"/>
  <c r="O143" i="1"/>
  <c r="O162" i="1"/>
  <c r="O166" i="1"/>
  <c r="O178" i="1"/>
  <c r="O194" i="1"/>
  <c r="O214" i="1"/>
  <c r="O222" i="1"/>
  <c r="O250" i="1"/>
  <c r="O290" i="1"/>
  <c r="O149" i="1"/>
  <c r="O169" i="1"/>
  <c r="O173" i="1"/>
  <c r="O193" i="1"/>
  <c r="O201" i="1"/>
  <c r="O213" i="1"/>
  <c r="O221" i="1"/>
  <c r="O241" i="1"/>
  <c r="O249" i="1"/>
  <c r="O253" i="1"/>
  <c r="O261" i="1"/>
  <c r="O293" i="1"/>
  <c r="O301" i="1"/>
  <c r="O321" i="1"/>
  <c r="O24" i="1"/>
  <c r="O36" i="1"/>
  <c r="O40" i="1"/>
  <c r="O48" i="1"/>
  <c r="O64" i="1"/>
  <c r="O68" i="1"/>
  <c r="O76" i="1"/>
  <c r="O88" i="1"/>
  <c r="O92" i="1"/>
  <c r="O104" i="1"/>
  <c r="O108" i="1"/>
  <c r="O132" i="1"/>
  <c r="O136" i="1"/>
  <c r="O144" i="1"/>
  <c r="O208" i="1"/>
  <c r="O212" i="1"/>
  <c r="O248" i="1"/>
  <c r="O288" i="1"/>
  <c r="O292" i="1"/>
  <c r="O300" i="1"/>
  <c r="O304" i="1"/>
  <c r="O316" i="1"/>
  <c r="O324" i="1"/>
  <c r="O159" i="1"/>
  <c r="O163" i="1"/>
  <c r="O183" i="1"/>
  <c r="O191" i="1"/>
  <c r="O199" i="1"/>
  <c r="O211" i="1"/>
  <c r="O235" i="1"/>
  <c r="O251" i="1"/>
  <c r="O279" i="1"/>
  <c r="O291" i="1"/>
  <c r="O2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552D9-F117-499C-8FEC-A7DE3B33F3D5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33ADEF36-47A1-40A1-BF80-E0CBF46FE3AB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A4001166-A095-4351-9AF5-4174F73467E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<sst xmlns="http://schemas.openxmlformats.org/spreadsheetml/2006/main" count="2234" uniqueCount="384">
  <si>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</si>
  <si>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</si>
  <si>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</si>
  <si>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</si>
  <si>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</si>
  <si>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</si>
  <si>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</si>
  <si>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</si>
  <si>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</si>
  <si>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</si>
  <si>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</si>
  <si>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</si>
  <si>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</si>
  <si>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</si>
  <si>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</si>
  <si>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Ad_Spend</t>
  </si>
  <si>
    <t>P001</t>
  </si>
  <si>
    <t>TWITTER</t>
  </si>
  <si>
    <t>Reel</t>
  </si>
  <si>
    <t>Check out our latest reel on twitter!</t>
  </si>
  <si>
    <t>#LiveForNow</t>
  </si>
  <si>
    <t>SummerSplash</t>
  </si>
  <si>
    <t>#AnytimeIsPepsiTime</t>
  </si>
  <si>
    <t>P002</t>
  </si>
  <si>
    <t>Text</t>
  </si>
  <si>
    <t>Check out our latest text on twitter!</t>
  </si>
  <si>
    <t>#PepsiCoRefresh</t>
  </si>
  <si>
    <t>FestiveRadiance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</si>
  <si>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</si>
  <si>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</si>
  <si>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</si>
  <si>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</si>
  <si>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</si>
  <si>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</si>
  <si>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</si>
  <si>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</si>
  <si>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</si>
  <si>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</si>
  <si>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</si>
  <si>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</si>
  <si>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</si>
  <si>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</si>
  <si>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</si>
  <si>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</si>
  <si>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</si>
  <si>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</si>
  <si>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</si>
  <si>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</si>
  <si>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</si>
  <si>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</si>
  <si>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</si>
  <si>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</si>
  <si>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</si>
  <si>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</si>
  <si>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</si>
  <si>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</si>
  <si>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</si>
  <si>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</si>
  <si>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</si>
  <si>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</si>
  <si>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</si>
  <si>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</si>
  <si>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</si>
  <si>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</si>
  <si>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</si>
  <si>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</si>
  <si>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</si>
  <si>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</si>
  <si>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</si>
  <si>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</si>
  <si>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</si>
  <si>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</si>
  <si>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</si>
  <si>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</si>
  <si>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</si>
  <si>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</si>
  <si>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</si>
  <si>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</si>
  <si>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</si>
  <si>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</si>
  <si>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</si>
  <si>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</si>
  <si>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</si>
  <si>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</si>
  <si>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</si>
  <si>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</si>
  <si>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</si>
  <si>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</si>
  <si>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</si>
  <si>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</si>
  <si>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</si>
  <si>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</si>
  <si>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</si>
  <si>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</si>
  <si>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</si>
  <si>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</si>
  <si>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</si>
  <si>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</si>
  <si>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</si>
  <si>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</si>
  <si>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</si>
  <si>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</si>
  <si>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</si>
  <si>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</si>
  <si>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</si>
  <si>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</si>
  <si>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</si>
  <si>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</si>
  <si>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</si>
  <si>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</si>
  <si>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</si>
  <si>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</si>
  <si>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</si>
  <si>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</si>
  <si>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</si>
  <si>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</si>
  <si>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</si>
  <si>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</si>
  <si>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</si>
  <si>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</si>
  <si>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</si>
  <si>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</si>
  <si>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</si>
  <si>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</si>
  <si>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</si>
  <si>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</si>
  <si>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</si>
  <si>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</si>
  <si>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</si>
  <si>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</si>
  <si>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</si>
  <si>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</si>
  <si>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</si>
  <si>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</si>
  <si>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</si>
  <si>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</si>
  <si>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</si>
  <si>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</si>
  <si>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</si>
  <si>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</si>
  <si>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</si>
  <si>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</si>
  <si>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</si>
  <si>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</si>
  <si>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</si>
  <si>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</si>
  <si>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</si>
  <si>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</si>
  <si>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</si>
  <si>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</si>
  <si>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</si>
  <si>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</si>
  <si>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</si>
  <si>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</si>
  <si>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</si>
  <si>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</si>
  <si>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</si>
  <si>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</si>
  <si>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</si>
  <si>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</si>
  <si>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</si>
  <si>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</si>
  <si>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</si>
  <si>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</si>
  <si>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</si>
  <si>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</si>
  <si>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</si>
  <si>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</si>
  <si>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</si>
  <si>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</si>
  <si>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</si>
  <si>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</si>
  <si>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</si>
  <si>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</si>
  <si>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</si>
  <si>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</si>
  <si>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</si>
  <si>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</si>
  <si>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</si>
  <si>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</si>
  <si>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</si>
  <si>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</si>
  <si>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</si>
  <si>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</si>
  <si>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</si>
  <si>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</si>
  <si>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</si>
  <si>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</si>
  <si>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</si>
  <si>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</si>
  <si>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</si>
  <si>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</si>
  <si>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</si>
  <si>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</si>
  <si>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</si>
  <si>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</si>
  <si>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</si>
  <si>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</si>
  <si>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</si>
  <si>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</si>
  <si>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</si>
  <si>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</si>
  <si>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</si>
  <si>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</si>
  <si>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</si>
  <si>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</si>
  <si>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</si>
  <si>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</si>
  <si>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</si>
  <si>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</si>
  <si>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</si>
  <si>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</si>
  <si>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</si>
  <si>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</si>
  <si>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</si>
  <si>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</si>
  <si>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</si>
  <si>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</si>
  <si>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</si>
  <si>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</si>
  <si>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</si>
  <si>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</si>
  <si>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</si>
  <si>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</si>
  <si>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</si>
  <si>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</si>
  <si>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</si>
  <si>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</si>
  <si>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</si>
  <si>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</si>
  <si>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</si>
  <si>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</si>
  <si>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</si>
  <si>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</si>
  <si>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</si>
  <si>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</si>
  <si>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</si>
  <si>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</si>
  <si>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</si>
  <si>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</si>
  <si>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</si>
  <si>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</si>
  <si>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</si>
  <si>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</si>
  <si>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</si>
  <si>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</si>
  <si>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</si>
  <si>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</si>
  <si>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</si>
  <si>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</si>
  <si>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</si>
  <si>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</si>
  <si>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</si>
  <si>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</si>
  <si>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</si>
  <si>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</si>
  <si>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</si>
  <si>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</si>
  <si>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</si>
  <si>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</si>
  <si>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</si>
  <si>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</si>
  <si>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</si>
  <si>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</si>
  <si>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</si>
  <si>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</si>
  <si>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</si>
  <si>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</si>
  <si>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</si>
  <si>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</si>
  <si>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</si>
  <si>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</si>
  <si>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</si>
  <si>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</si>
  <si>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</si>
  <si>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</si>
  <si>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</si>
  <si>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</si>
  <si>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</si>
  <si>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</si>
  <si>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</si>
  <si>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</si>
  <si>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</si>
  <si>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</si>
  <si>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</si>
  <si>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</si>
  <si>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</si>
  <si>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</si>
  <si>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</si>
  <si>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</si>
  <si>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</si>
  <si>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</si>
  <si>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</si>
  <si>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</si>
  <si>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</si>
  <si>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</si>
  <si>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</si>
  <si>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</si>
  <si>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</si>
  <si>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</si>
  <si>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</si>
  <si>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</si>
  <si>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</si>
  <si>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</si>
  <si>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</si>
  <si>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</si>
  <si>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</si>
  <si>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</si>
  <si>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</si>
  <si>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</si>
  <si>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</si>
  <si>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</si>
  <si>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</si>
  <si>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</si>
  <si>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</si>
  <si>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</si>
  <si>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</si>
  <si>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</si>
  <si>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</si>
  <si>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</si>
  <si>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</si>
  <si>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</si>
  <si>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</si>
  <si>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</si>
  <si>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</si>
  <si>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</si>
  <si>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</si>
  <si>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</si>
  <si>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</si>
  <si>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</si>
  <si>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</si>
  <si>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</si>
  <si>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</si>
  <si>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</si>
  <si>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</si>
  <si>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</si>
  <si>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</si>
  <si>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</si>
  <si>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</si>
  <si>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</si>
  <si>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</si>
  <si>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</si>
  <si>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</si>
  <si>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</si>
  <si>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</si>
  <si>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</si>
  <si>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</si>
  <si>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</si>
  <si>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</si>
  <si>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</si>
  <si>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</si>
  <si>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</si>
  <si>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</si>
  <si>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</si>
  <si>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</si>
  <si>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</si>
  <si>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</si>
  <si>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</si>
  <si>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</si>
  <si>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</si>
  <si>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</si>
  <si>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</si>
  <si>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</si>
  <si>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</si>
  <si>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</si>
  <si>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Net Follower Change</t>
  </si>
  <si>
    <t>Total Net Follower Change per Platform</t>
  </si>
  <si>
    <t>YouTube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</si>
  <si>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</si>
  <si>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</si>
  <si>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</si>
  <si>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</si>
  <si>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</si>
  <si>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</si>
  <si>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</si>
  <si>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</si>
  <si>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Engagement</t>
  </si>
  <si>
    <t>INSTAGRAM,YOUTUBE</t>
  </si>
  <si>
    <t/>
  </si>
  <si>
    <t>Product Launch</t>
  </si>
  <si>
    <t>FACEBOOK,TWITTER</t>
  </si>
  <si>
    <t>Traffic</t>
  </si>
  <si>
    <t>INSTAGRAM,TWITTER</t>
  </si>
  <si>
    <t>https://www.loom.com/share/865b9cdb6d2c4675a1a185bfb111cb04?sid=64d1e5ed-1b74-44b6-87ff-3b6a994fa901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</si>
</sst>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1198536-8A63-4785-A345-C9E2A9858DF8}" autoFormatId="16" applyNumberFormats="0" applyBorderFormats="0" applyFontFormats="0" applyPatternFormats="0" applyAlignmentFormats="0" applyWidthHeightFormats="0">
  <queryTableRefresh nextId="19" unboundColumnsRight="3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8CDC3C0-6FB5-47F8-B126-9C6E5B1D663D}" autoFormatId="16" applyNumberFormats="0" applyBorderFormats="0" applyFontFormats="0" applyPatternFormats="0" applyAlignmentFormats="0" applyWidthHeightFormats="0">
  <queryTableRefresh nextId="15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59C66D3-12C3-4BDF-9106-11ED70EF0AE9}" autoFormatId="16" applyNumberFormats="0" applyBorderFormats="0" applyFontFormats="0" applyPatternFormats="0" applyAlignmentFormats="0" applyWidthHeightFormats="0">
  <queryTableRefresh nextId="9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EA3B3-096F-40DA-BBED-0B0C5EB47FBF}" name="Posts" displayName="Posts" ref="A1:P1048576" tableType="queryTable" totalsRowShown="0">
  <autoFilter ref="A1:P1048576" xr:uid="{A5EC8CC7-B733-4F15-B403-43B00B202A2E}"/>
  <tableColumns count="16">
    <tableColumn id="1" xr3:uid="{DF8451B6-E8AC-42C7-BEDB-AEA75E7D5CC7}" uniqueName="1" name="Post ID" queryTableFieldId="1" dataDxfId="18"/>
    <tableColumn id="2" xr3:uid="{305532C9-605D-4D7E-8224-A53940F45CD5}" uniqueName="2" name="Platform" queryTableFieldId="2" dataDxfId="17"/>
    <tableColumn id="3" xr3:uid="{4AF0309C-7F19-4615-A964-51F6C80196B4}" uniqueName="3" name="Date" queryTableFieldId="3" dataDxfId="16"/>
    <tableColumn id="4" xr3:uid="{802C29C3-58ED-4311-BB36-30F79EB2F978}" uniqueName="4" name="Content Type" queryTableFieldId="4" dataDxfId="15"/>
    <tableColumn id="5" xr3:uid="{05608837-CC1D-4820-A547-34AB6EF3BE9F}" uniqueName="5" name="Post Text" queryTableFieldId="5" dataDxfId="14"/>
    <tableColumn id="6" xr3:uid="{8266FAF0-C48D-46BD-BA47-2D26E1562EBF}" uniqueName="6" name="Likes" queryTableFieldId="6"/>
    <tableColumn id="7" xr3:uid="{AC493C08-5D12-4F35-A1EE-CE402D8DC664}" uniqueName="7" name="Shares" queryTableFieldId="7"/>
    <tableColumn id="8" xr3:uid="{48B8E8B2-8D39-4292-B52E-72200D15F509}" uniqueName="8" name="Comments" queryTableFieldId="8"/>
    <tableColumn id="9" xr3:uid="{789A4FC9-E79E-4D08-B38A-28D637DE5716}" uniqueName="9" name="Impressions" queryTableFieldId="9"/>
    <tableColumn id="10" xr3:uid="{5F64D5BA-1518-4B4D-82C8-3F1589892DC9}" uniqueName="10" name="Reach" queryTableFieldId="10"/>
    <tableColumn id="11" xr3:uid="{AB67BE70-5A66-4765-A174-387DFCCC02DA}" uniqueName="11" name="Clicks" queryTableFieldId="11"/>
    <tableColumn id="12" xr3:uid="{23E36608-5985-4342-BF8B-C1152D5290D3}" uniqueName="12" name="Hashtags Used" queryTableFieldId="12" dataDxfId="13"/>
    <tableColumn id="13" xr3:uid="{DAEBD128-AD8E-401A-9D3F-A3A9D26B50AE}" uniqueName="13" name="Campaign_Name" queryTableFieldId="13" dataDxfId="12"/>
    <tableColumn id="14" xr3:uid="{93BF3130-9A6B-4CA4-A828-4000DFC09408}" uniqueName="14" name="Engagement Rate" queryTableFieldId="14" dataDxfId="11">
      <calculatedColumnFormula>(F2+G2+H2)/I2</calculatedColumnFormula>
    </tableColumn>
    <tableColumn id="17" xr3:uid="{489406F9-3811-45A0-9B8B-68B10713DF9A}" uniqueName="17" name="Average Engagement Rate per Platform" queryTableFieldId="17" dataDxfId="10">
      <calculatedColumnFormula>AVERAGEIF(B:B,B2,N:N)</calculatedColumnFormula>
    </tableColumn>
    <tableColumn id="18" xr3:uid="{A1A6B6ED-589C-4DA8-8DC8-BD86D6035A19}" uniqueName="18" name="Ad_Spend" queryTableFieldId="1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847B79-0BFA-4E5C-A825-F583AB059E7A}" name="Engagement_Summary" displayName="Engagement_Summary" ref="A1:I201" tableType="queryTable" totalsRowShown="0">
  <autoFilter ref="A1:I201" xr:uid="{EEE772DE-2142-41BD-93C5-F5A6EF8B6451}"/>
  <tableColumns count="9">
    <tableColumn id="1" xr3:uid="{CF89E11C-38A5-4D70-88F2-8342C3FDC05F}" uniqueName="1" name="Week_Start_Date" queryTableFieldId="1" dataDxfId="8"/>
    <tableColumn id="2" xr3:uid="{6F5011B9-6B65-4A15-8205-DDE9489799C2}" uniqueName="2" name="Platform" queryTableFieldId="2" dataDxfId="7"/>
    <tableColumn id="3" xr3:uid="{4A8E114E-C32A-4E1B-AF28-2CA7C8A6EB98}" uniqueName="3" name="New_Followers" queryTableFieldId="3"/>
    <tableColumn id="4" xr3:uid="{D87EC862-E68D-4674-B549-1EF277EEBB1A}" uniqueName="4" name="Unfollows" queryTableFieldId="4"/>
    <tableColumn id="5" xr3:uid="{BCA3770E-97A4-45E6-AD97-AB6D3FD25056}" uniqueName="5" name="Total_Followers" queryTableFieldId="5"/>
    <tableColumn id="6" xr3:uid="{80D988EA-4EA8-4C6A-B31F-CCEE8303AC23}" uniqueName="6" name="Engagement_Rate" queryTableFieldId="6"/>
    <tableColumn id="7" xr3:uid="{580F1703-4015-4D3E-B6E4-286B1AEC3C1A}" uniqueName="7" name="Ad_Spend" queryTableFieldId="7"/>
    <tableColumn id="8" xr3:uid="{B6CFB0D5-3561-4A0A-BC15-678DD3414D1E}" uniqueName="8" name="Net Follower Change" queryTableFieldId="8" dataDxfId="6">
      <calculatedColumnFormula>C2-D2</calculatedColumnFormula>
    </tableColumn>
    <tableColumn id="9" xr3:uid="{6FCF08DF-733D-4938-8AE4-595518F03FDC}" uniqueName="9" name="Total Net Follower Change per Platform" queryTableFieldId="9">
      <calculatedColumnFormula>SUMIF(B:B,B2,H:H)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97535-E0DC-432C-8207-579A72805BD7}" name="Campaign_Metadata" displayName="Campaign_Metadata" ref="A1:G8" tableType="queryTable" totalsRowShown="0">
  <autoFilter ref="A1:G8" xr:uid="{7E74ED0D-7BAA-4939-A90E-C7466A0676AA}"/>
  <tableColumns count="7">
    <tableColumn id="1" xr3:uid="{0AFD5814-AFF2-42DA-99CE-662312CA1DC0}" uniqueName="1" name="Campaign_Name" queryTableFieldId="1" dataDxfId="5"/>
    <tableColumn id="2" xr3:uid="{48C1409E-25C5-40FA-8CA9-FAFF5ED73B31}" uniqueName="2" name="Start_Date" queryTableFieldId="2" dataDxfId="4"/>
    <tableColumn id="3" xr3:uid="{DBC0A343-8C0F-4738-BF39-7D1D7B76E388}" uniqueName="3" name="End_Date" queryTableFieldId="3" dataDxfId="3"/>
    <tableColumn id="4" xr3:uid="{6515147A-60F7-4484-8937-3327EF879964}" uniqueName="4" name="Objective" queryTableFieldId="4" dataDxfId="2"/>
    <tableColumn id="5" xr3:uid="{3BDE8295-5506-4D87-BC10-623670460BB9}" uniqueName="5" name="Total_Budget" queryTableFieldId="5"/>
    <tableColumn id="6" xr3:uid="{85334DDE-423F-47EA-BEC4-6E871DA12044}" uniqueName="6" name="Target_Platforms" queryTableFieldId="6" dataDxfId="1"/>
    <tableColumn id="7" xr3:uid="{513821D3-1965-44AB-B58C-C3A589DD3DE8}" uniqueName="7" name="Primary_Hashtag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865b9cdb6d2c4675a1a185bfb111cb04?sid=64d1e5ed-1b74-44b6-87ff-3b6a994fa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42CD-329D-44F4-9B67-B5AE34D9D722}">
  <dimension ref="A1:P340"/>
  <sheetViews>
    <sheetView topLeftCell="D1" workbookViewId="0">
      <selection activeCell="W16" sqref="W16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0.33203125" style="1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6" max="16" width="9" hidden="1" customWidth="1"/>
    <col min="17" max="17" width="8.88671875" customWidth="1"/>
    <col min="18" max="18" width="23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45649</v>
      </c>
      <c r="D2" t="s">
        <v>18</v>
      </c>
      <c r="E2" t="s">
        <v>19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20</v>
      </c>
      <c r="M2" t="s">
        <v>21</v>
      </c>
      <c r="N2">
        <f t="shared" ref="N2:N65" si="0">(F2+G2+H2)/I2</f>
        <v>9.0759753593429152E-2</v>
      </c>
      <c r="O2">
        <f t="shared" ref="O2:O65" si="1">AVERAGEIF(B:B,B2,N:N)</f>
        <v>0.13739368723551609</v>
      </c>
      <c r="P2">
        <v>5904</v>
      </c>
    </row>
    <row r="3" spans="1:16" x14ac:dyDescent="0.3">
      <c r="A3" t="s">
        <v>16</v>
      </c>
      <c r="B3" t="s">
        <v>17</v>
      </c>
      <c r="C3" s="1">
        <v>45649</v>
      </c>
      <c r="D3" t="s">
        <v>18</v>
      </c>
      <c r="E3" t="s">
        <v>19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22</v>
      </c>
      <c r="M3" t="s">
        <v>21</v>
      </c>
      <c r="N3">
        <f t="shared" si="0"/>
        <v>9.0759753593429152E-2</v>
      </c>
      <c r="O3">
        <f t="shared" si="1"/>
        <v>0.13739368723551609</v>
      </c>
      <c r="P3">
        <v>9566</v>
      </c>
    </row>
    <row r="4" spans="1:16" x14ac:dyDescent="0.3">
      <c r="A4" t="s">
        <v>23</v>
      </c>
      <c r="B4" t="s">
        <v>17</v>
      </c>
      <c r="C4" s="1">
        <v>45750</v>
      </c>
      <c r="D4" t="s">
        <v>24</v>
      </c>
      <c r="E4" t="s">
        <v>25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26</v>
      </c>
      <c r="M4" t="s">
        <v>27</v>
      </c>
      <c r="N4">
        <f t="shared" si="0"/>
        <v>7.6097681302417369E-2</v>
      </c>
      <c r="O4">
        <f t="shared" si="1"/>
        <v>0.13739368723551609</v>
      </c>
      <c r="P4">
        <v>26752</v>
      </c>
    </row>
    <row r="5" spans="1:16" x14ac:dyDescent="0.3">
      <c r="A5" t="s">
        <v>23</v>
      </c>
      <c r="B5" t="s">
        <v>17</v>
      </c>
      <c r="C5" s="1">
        <v>45750</v>
      </c>
      <c r="D5" t="s">
        <v>24</v>
      </c>
      <c r="E5" t="s">
        <v>25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28</v>
      </c>
      <c r="M5" t="s">
        <v>27</v>
      </c>
      <c r="N5">
        <f t="shared" si="0"/>
        <v>7.6097681302417369E-2</v>
      </c>
      <c r="O5">
        <f t="shared" si="1"/>
        <v>0.13739368723551609</v>
      </c>
      <c r="P5">
        <v>30671</v>
      </c>
    </row>
    <row r="6" spans="1:16" x14ac:dyDescent="0.3">
      <c r="A6" t="s">
        <v>29</v>
      </c>
      <c r="B6" t="s">
        <v>30</v>
      </c>
      <c r="C6" s="1">
        <v>45789</v>
      </c>
      <c r="D6" t="s">
        <v>18</v>
      </c>
      <c r="E6" t="s">
        <v>31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26</v>
      </c>
      <c r="M6" t="s">
        <v>32</v>
      </c>
      <c r="N6">
        <f t="shared" si="0"/>
        <v>5.5531494209584788E-2</v>
      </c>
      <c r="O6">
        <f t="shared" si="1"/>
        <v>0.13298735096853673</v>
      </c>
      <c r="P6">
        <v>9920</v>
      </c>
    </row>
    <row r="7" spans="1:16" x14ac:dyDescent="0.3">
      <c r="A7" t="s">
        <v>33</v>
      </c>
      <c r="B7" t="s">
        <v>34</v>
      </c>
      <c r="C7" s="1">
        <v>45516</v>
      </c>
      <c r="D7" t="s">
        <v>35</v>
      </c>
      <c r="E7" t="s">
        <v>36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37</v>
      </c>
      <c r="M7" t="s">
        <v>38</v>
      </c>
      <c r="N7">
        <f t="shared" si="0"/>
        <v>0.15105033277870217</v>
      </c>
      <c r="O7">
        <f t="shared" si="1"/>
        <v>0.18531784517185629</v>
      </c>
      <c r="P7">
        <v>7924</v>
      </c>
    </row>
    <row r="8" spans="1:16" x14ac:dyDescent="0.3">
      <c r="A8" t="s">
        <v>39</v>
      </c>
      <c r="B8" t="s">
        <v>30</v>
      </c>
      <c r="C8" s="1">
        <v>45469</v>
      </c>
      <c r="D8" t="s">
        <v>18</v>
      </c>
      <c r="E8" t="s">
        <v>31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37</v>
      </c>
      <c r="M8" t="s">
        <v>21</v>
      </c>
      <c r="N8">
        <f t="shared" si="0"/>
        <v>6.5617093055946027E-2</v>
      </c>
      <c r="O8">
        <f t="shared" si="1"/>
        <v>0.13298735096853673</v>
      </c>
      <c r="P8">
        <v>8912</v>
      </c>
    </row>
    <row r="9" spans="1:16" x14ac:dyDescent="0.3">
      <c r="A9" t="s">
        <v>39</v>
      </c>
      <c r="B9" t="s">
        <v>30</v>
      </c>
      <c r="C9" s="1">
        <v>45469</v>
      </c>
      <c r="D9" t="s">
        <v>18</v>
      </c>
      <c r="E9" t="s">
        <v>31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26</v>
      </c>
      <c r="M9" t="s">
        <v>21</v>
      </c>
      <c r="N9">
        <f t="shared" si="0"/>
        <v>6.5617093055946027E-2</v>
      </c>
      <c r="O9">
        <f t="shared" si="1"/>
        <v>0.13298735096853673</v>
      </c>
      <c r="P9">
        <v>21205</v>
      </c>
    </row>
    <row r="10" spans="1:16" x14ac:dyDescent="0.3">
      <c r="A10" t="s">
        <v>40</v>
      </c>
      <c r="B10" t="s">
        <v>41</v>
      </c>
      <c r="C10" s="1">
        <v>45596</v>
      </c>
      <c r="D10" t="s">
        <v>42</v>
      </c>
      <c r="E10" t="s">
        <v>43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26</v>
      </c>
      <c r="M10" t="s">
        <v>27</v>
      </c>
      <c r="N10">
        <f t="shared" si="0"/>
        <v>0.17954159592529711</v>
      </c>
      <c r="O10">
        <f t="shared" si="1"/>
        <v>0.12094203382654924</v>
      </c>
      <c r="P10">
        <v>11329</v>
      </c>
    </row>
    <row r="11" spans="1:16" x14ac:dyDescent="0.3">
      <c r="A11" t="s">
        <v>44</v>
      </c>
      <c r="B11" t="s">
        <v>17</v>
      </c>
      <c r="C11" s="1">
        <v>45467</v>
      </c>
      <c r="D11" t="s">
        <v>42</v>
      </c>
      <c r="E11" t="s">
        <v>45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26</v>
      </c>
      <c r="M11" t="s">
        <v>27</v>
      </c>
      <c r="N11">
        <f t="shared" si="0"/>
        <v>7.0272020725388601E-2</v>
      </c>
      <c r="O11">
        <f t="shared" si="1"/>
        <v>0.13739368723551609</v>
      </c>
      <c r="P11">
        <v>46670</v>
      </c>
    </row>
    <row r="12" spans="1:16" x14ac:dyDescent="0.3">
      <c r="A12" t="s">
        <v>46</v>
      </c>
      <c r="B12" t="s">
        <v>30</v>
      </c>
      <c r="C12" s="1">
        <v>45486</v>
      </c>
      <c r="D12" t="s">
        <v>47</v>
      </c>
      <c r="E12" t="s">
        <v>48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37</v>
      </c>
      <c r="M12" t="s">
        <v>38</v>
      </c>
      <c r="N12">
        <f t="shared" si="0"/>
        <v>0.10340359564080613</v>
      </c>
      <c r="O12">
        <f t="shared" si="1"/>
        <v>0.13298735096853673</v>
      </c>
      <c r="P12">
        <v>22482</v>
      </c>
    </row>
    <row r="13" spans="1:16" x14ac:dyDescent="0.3">
      <c r="A13" t="s">
        <v>49</v>
      </c>
      <c r="B13" t="s">
        <v>41</v>
      </c>
      <c r="C13" s="1">
        <v>45534</v>
      </c>
      <c r="D13" t="s">
        <v>24</v>
      </c>
      <c r="E13" t="s">
        <v>50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26</v>
      </c>
      <c r="M13" t="s">
        <v>27</v>
      </c>
      <c r="N13">
        <f t="shared" si="0"/>
        <v>8.8019732205778717E-2</v>
      </c>
      <c r="O13">
        <f t="shared" si="1"/>
        <v>0.12094203382654924</v>
      </c>
      <c r="P13">
        <v>24313</v>
      </c>
    </row>
    <row r="14" spans="1:16" x14ac:dyDescent="0.3">
      <c r="A14" t="s">
        <v>51</v>
      </c>
      <c r="B14" t="s">
        <v>41</v>
      </c>
      <c r="C14" s="1">
        <v>45727</v>
      </c>
      <c r="D14" t="s">
        <v>47</v>
      </c>
      <c r="E14" t="s">
        <v>52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26</v>
      </c>
      <c r="M14" t="s">
        <v>27</v>
      </c>
      <c r="N14">
        <f t="shared" si="0"/>
        <v>7.198635172059864E-2</v>
      </c>
      <c r="O14">
        <f t="shared" si="1"/>
        <v>0.12094203382654924</v>
      </c>
      <c r="P14">
        <v>18050</v>
      </c>
    </row>
    <row r="15" spans="1:16" x14ac:dyDescent="0.3">
      <c r="A15" t="s">
        <v>53</v>
      </c>
      <c r="B15" t="s">
        <v>34</v>
      </c>
      <c r="C15" s="1">
        <v>45690</v>
      </c>
      <c r="D15" t="s">
        <v>35</v>
      </c>
      <c r="E15" t="s">
        <v>36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20</v>
      </c>
      <c r="M15" t="s">
        <v>38</v>
      </c>
      <c r="N15">
        <f t="shared" si="0"/>
        <v>0.11571269132653061</v>
      </c>
      <c r="O15">
        <f t="shared" si="1"/>
        <v>0.18531784517185629</v>
      </c>
      <c r="P15">
        <v>30635</v>
      </c>
    </row>
    <row r="16" spans="1:16" x14ac:dyDescent="0.3">
      <c r="A16" t="s">
        <v>54</v>
      </c>
      <c r="B16" t="s">
        <v>41</v>
      </c>
      <c r="C16" s="1">
        <v>45494</v>
      </c>
      <c r="D16" t="s">
        <v>18</v>
      </c>
      <c r="E16" t="s">
        <v>55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20</v>
      </c>
      <c r="M16" t="s">
        <v>32</v>
      </c>
      <c r="N16">
        <f t="shared" si="0"/>
        <v>0.12885405960945528</v>
      </c>
      <c r="O16">
        <f t="shared" si="1"/>
        <v>0.12094203382654924</v>
      </c>
      <c r="P16">
        <v>31280</v>
      </c>
    </row>
    <row r="17" spans="1:16" x14ac:dyDescent="0.3">
      <c r="A17" t="s">
        <v>56</v>
      </c>
      <c r="B17" t="s">
        <v>30</v>
      </c>
      <c r="C17" s="1">
        <v>45614</v>
      </c>
      <c r="D17" t="s">
        <v>42</v>
      </c>
      <c r="E17" t="s">
        <v>57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37</v>
      </c>
      <c r="M17" t="s">
        <v>21</v>
      </c>
      <c r="N17">
        <f t="shared" si="0"/>
        <v>7.5868578363072495E-2</v>
      </c>
      <c r="O17">
        <f t="shared" si="1"/>
        <v>0.13298735096853673</v>
      </c>
      <c r="P17">
        <v>1783</v>
      </c>
    </row>
    <row r="18" spans="1:16" x14ac:dyDescent="0.3">
      <c r="A18" t="s">
        <v>58</v>
      </c>
      <c r="B18" t="s">
        <v>41</v>
      </c>
      <c r="C18" s="1">
        <v>45704</v>
      </c>
      <c r="D18" t="s">
        <v>35</v>
      </c>
      <c r="E18" t="s">
        <v>59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20</v>
      </c>
      <c r="N18">
        <f t="shared" si="0"/>
        <v>0.14521452145214522</v>
      </c>
      <c r="O18">
        <f t="shared" si="1"/>
        <v>0.12094203382654924</v>
      </c>
      <c r="P18">
        <v>9566</v>
      </c>
    </row>
    <row r="19" spans="1:16" x14ac:dyDescent="0.3">
      <c r="A19" t="s">
        <v>60</v>
      </c>
      <c r="B19" t="s">
        <v>41</v>
      </c>
      <c r="C19" s="1">
        <v>45589</v>
      </c>
      <c r="D19" t="s">
        <v>61</v>
      </c>
      <c r="E19" t="s">
        <v>62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20</v>
      </c>
      <c r="M19" t="s">
        <v>21</v>
      </c>
      <c r="N19">
        <f t="shared" si="0"/>
        <v>5.941358024691358E-2</v>
      </c>
      <c r="O19">
        <f t="shared" si="1"/>
        <v>0.12094203382654924</v>
      </c>
      <c r="P19">
        <v>42307</v>
      </c>
    </row>
    <row r="20" spans="1:16" x14ac:dyDescent="0.3">
      <c r="A20" t="s">
        <v>63</v>
      </c>
      <c r="B20" t="s">
        <v>41</v>
      </c>
      <c r="C20" s="1">
        <v>45530</v>
      </c>
      <c r="D20" t="s">
        <v>24</v>
      </c>
      <c r="E20" t="s">
        <v>50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20</v>
      </c>
      <c r="M20" t="s">
        <v>32</v>
      </c>
      <c r="N20">
        <f t="shared" si="0"/>
        <v>7.5843713789107758E-2</v>
      </c>
      <c r="O20">
        <f t="shared" si="1"/>
        <v>0.12094203382654924</v>
      </c>
      <c r="P20">
        <v>5914</v>
      </c>
    </row>
    <row r="21" spans="1:16" x14ac:dyDescent="0.3">
      <c r="A21" t="s">
        <v>64</v>
      </c>
      <c r="B21" t="s">
        <v>41</v>
      </c>
      <c r="C21" s="1">
        <v>45782</v>
      </c>
      <c r="D21" t="s">
        <v>24</v>
      </c>
      <c r="E21" t="s">
        <v>50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37</v>
      </c>
      <c r="M21" t="s">
        <v>38</v>
      </c>
      <c r="N21">
        <f t="shared" si="0"/>
        <v>9.4235532537716729E-2</v>
      </c>
      <c r="O21">
        <f t="shared" si="1"/>
        <v>0.12094203382654924</v>
      </c>
      <c r="P21">
        <v>30060</v>
      </c>
    </row>
    <row r="22" spans="1:16" x14ac:dyDescent="0.3">
      <c r="A22" t="s">
        <v>65</v>
      </c>
      <c r="B22" t="s">
        <v>34</v>
      </c>
      <c r="C22" s="1">
        <v>45523</v>
      </c>
      <c r="D22" t="s">
        <v>18</v>
      </c>
      <c r="E22" t="s">
        <v>66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20</v>
      </c>
      <c r="M22" t="s">
        <v>21</v>
      </c>
      <c r="N22">
        <f t="shared" si="0"/>
        <v>0.10297222222222223</v>
      </c>
      <c r="O22">
        <f t="shared" si="1"/>
        <v>0.18531784517185629</v>
      </c>
      <c r="P22">
        <v>22728</v>
      </c>
    </row>
    <row r="23" spans="1:16" x14ac:dyDescent="0.3">
      <c r="A23" t="s">
        <v>67</v>
      </c>
      <c r="B23" t="s">
        <v>34</v>
      </c>
      <c r="C23" s="1">
        <v>45466</v>
      </c>
      <c r="D23" t="s">
        <v>61</v>
      </c>
      <c r="E23" t="s">
        <v>68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26</v>
      </c>
      <c r="M23" t="s">
        <v>38</v>
      </c>
      <c r="N23">
        <f t="shared" si="0"/>
        <v>0.10034235916588857</v>
      </c>
      <c r="O23">
        <f t="shared" si="1"/>
        <v>0.18531784517185629</v>
      </c>
      <c r="P23">
        <v>38610</v>
      </c>
    </row>
    <row r="24" spans="1:16" x14ac:dyDescent="0.3">
      <c r="A24" t="s">
        <v>69</v>
      </c>
      <c r="B24" t="s">
        <v>34</v>
      </c>
      <c r="C24" s="1">
        <v>45544</v>
      </c>
      <c r="D24" t="s">
        <v>42</v>
      </c>
      <c r="E24" t="s">
        <v>70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26</v>
      </c>
      <c r="M24" t="s">
        <v>21</v>
      </c>
      <c r="N24">
        <f t="shared" si="0"/>
        <v>6.3809622724794221E-2</v>
      </c>
      <c r="O24">
        <f t="shared" si="1"/>
        <v>0.18531784517185629</v>
      </c>
      <c r="P24">
        <v>2932</v>
      </c>
    </row>
    <row r="25" spans="1:16" x14ac:dyDescent="0.3">
      <c r="A25" t="s">
        <v>71</v>
      </c>
      <c r="B25" t="s">
        <v>34</v>
      </c>
      <c r="C25" s="1">
        <v>45661</v>
      </c>
      <c r="D25" t="s">
        <v>18</v>
      </c>
      <c r="E25" t="s">
        <v>66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20</v>
      </c>
      <c r="M25" t="s">
        <v>38</v>
      </c>
      <c r="N25">
        <f t="shared" si="0"/>
        <v>7.7249552156538517E-2</v>
      </c>
      <c r="O25">
        <f t="shared" si="1"/>
        <v>0.18531784517185629</v>
      </c>
      <c r="P25">
        <v>15071</v>
      </c>
    </row>
    <row r="26" spans="1:16" x14ac:dyDescent="0.3">
      <c r="A26" t="s">
        <v>72</v>
      </c>
      <c r="B26" t="s">
        <v>41</v>
      </c>
      <c r="C26" s="1">
        <v>45715</v>
      </c>
      <c r="D26" t="s">
        <v>24</v>
      </c>
      <c r="E26" t="s">
        <v>50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26</v>
      </c>
      <c r="M26" t="s">
        <v>38</v>
      </c>
      <c r="N26">
        <f t="shared" si="0"/>
        <v>8.0294585987261149E-2</v>
      </c>
      <c r="O26">
        <f t="shared" si="1"/>
        <v>0.12094203382654924</v>
      </c>
      <c r="P26">
        <v>10740</v>
      </c>
    </row>
    <row r="27" spans="1:16" x14ac:dyDescent="0.3">
      <c r="A27" t="s">
        <v>73</v>
      </c>
      <c r="B27" t="s">
        <v>41</v>
      </c>
      <c r="C27" s="1">
        <v>45602</v>
      </c>
      <c r="D27" t="s">
        <v>61</v>
      </c>
      <c r="E27" t="s">
        <v>62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26</v>
      </c>
      <c r="M27" t="s">
        <v>27</v>
      </c>
      <c r="N27">
        <f t="shared" si="0"/>
        <v>7.6867995018679955E-2</v>
      </c>
      <c r="O27">
        <f t="shared" si="1"/>
        <v>0.12094203382654924</v>
      </c>
      <c r="P27">
        <v>43420</v>
      </c>
    </row>
    <row r="28" spans="1:16" x14ac:dyDescent="0.3">
      <c r="A28" t="s">
        <v>73</v>
      </c>
      <c r="B28" t="s">
        <v>41</v>
      </c>
      <c r="C28" s="1">
        <v>45602</v>
      </c>
      <c r="D28" t="s">
        <v>61</v>
      </c>
      <c r="E28" t="s">
        <v>62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22</v>
      </c>
      <c r="M28" t="s">
        <v>27</v>
      </c>
      <c r="N28">
        <f t="shared" si="0"/>
        <v>7.6867995018679955E-2</v>
      </c>
      <c r="O28">
        <f t="shared" si="1"/>
        <v>0.12094203382654924</v>
      </c>
      <c r="P28">
        <v>32393</v>
      </c>
    </row>
    <row r="29" spans="1:16" x14ac:dyDescent="0.3">
      <c r="A29" t="s">
        <v>74</v>
      </c>
      <c r="B29" t="s">
        <v>41</v>
      </c>
      <c r="C29" s="1">
        <v>45680</v>
      </c>
      <c r="D29" t="s">
        <v>61</v>
      </c>
      <c r="E29" t="s">
        <v>62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20</v>
      </c>
      <c r="M29" t="s">
        <v>32</v>
      </c>
      <c r="N29">
        <f t="shared" si="0"/>
        <v>7.2070332803659209E-2</v>
      </c>
      <c r="O29">
        <f t="shared" si="1"/>
        <v>0.12094203382654924</v>
      </c>
      <c r="P29">
        <v>28474</v>
      </c>
    </row>
    <row r="30" spans="1:16" x14ac:dyDescent="0.3">
      <c r="A30" t="s">
        <v>75</v>
      </c>
      <c r="B30" t="s">
        <v>17</v>
      </c>
      <c r="C30" s="1">
        <v>45757</v>
      </c>
      <c r="D30" t="s">
        <v>42</v>
      </c>
      <c r="E30" t="s">
        <v>45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37</v>
      </c>
      <c r="N30">
        <f t="shared" si="0"/>
        <v>5.9496567505720827E-2</v>
      </c>
      <c r="O30">
        <f t="shared" si="1"/>
        <v>0.13739368723551609</v>
      </c>
      <c r="P30">
        <v>17328</v>
      </c>
    </row>
    <row r="31" spans="1:16" x14ac:dyDescent="0.3">
      <c r="A31" t="s">
        <v>76</v>
      </c>
      <c r="B31" t="s">
        <v>30</v>
      </c>
      <c r="C31" s="1">
        <v>45752</v>
      </c>
      <c r="D31" t="s">
        <v>18</v>
      </c>
      <c r="E31" t="s">
        <v>31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20</v>
      </c>
      <c r="M31" t="s">
        <v>27</v>
      </c>
      <c r="N31">
        <f t="shared" si="0"/>
        <v>8.9730807577268201E-2</v>
      </c>
      <c r="O31">
        <f t="shared" si="1"/>
        <v>0.13298735096853673</v>
      </c>
      <c r="P31">
        <v>26067</v>
      </c>
    </row>
    <row r="32" spans="1:16" x14ac:dyDescent="0.3">
      <c r="A32" t="s">
        <v>77</v>
      </c>
      <c r="B32" t="s">
        <v>30</v>
      </c>
      <c r="C32" s="1">
        <v>45552</v>
      </c>
      <c r="D32" t="s">
        <v>24</v>
      </c>
      <c r="E32" t="s">
        <v>78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20</v>
      </c>
      <c r="M32" t="s">
        <v>38</v>
      </c>
      <c r="N32">
        <f t="shared" si="0"/>
        <v>7.1501685934489398E-2</v>
      </c>
      <c r="O32">
        <f t="shared" si="1"/>
        <v>0.13298735096853673</v>
      </c>
      <c r="P32">
        <v>32763</v>
      </c>
    </row>
    <row r="33" spans="1:16" x14ac:dyDescent="0.3">
      <c r="A33" t="s">
        <v>79</v>
      </c>
      <c r="B33" t="s">
        <v>34</v>
      </c>
      <c r="C33" s="1">
        <v>45720</v>
      </c>
      <c r="D33" t="s">
        <v>61</v>
      </c>
      <c r="E33" t="s">
        <v>68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20</v>
      </c>
      <c r="M33" t="s">
        <v>38</v>
      </c>
      <c r="N33">
        <f t="shared" si="0"/>
        <v>0.17057291666666666</v>
      </c>
      <c r="O33">
        <f t="shared" si="1"/>
        <v>0.18531784517185629</v>
      </c>
      <c r="P33">
        <v>26452</v>
      </c>
    </row>
    <row r="34" spans="1:16" x14ac:dyDescent="0.3">
      <c r="A34" t="s">
        <v>80</v>
      </c>
      <c r="B34" t="s">
        <v>34</v>
      </c>
      <c r="C34" s="1">
        <v>45688</v>
      </c>
      <c r="D34" t="s">
        <v>42</v>
      </c>
      <c r="E34" t="s">
        <v>70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20</v>
      </c>
      <c r="M34" t="s">
        <v>32</v>
      </c>
      <c r="N34">
        <f t="shared" si="0"/>
        <v>0.21208106001558846</v>
      </c>
      <c r="O34">
        <f t="shared" si="1"/>
        <v>0.18531784517185629</v>
      </c>
      <c r="P34">
        <v>15353</v>
      </c>
    </row>
    <row r="35" spans="1:16" x14ac:dyDescent="0.3">
      <c r="A35" t="s">
        <v>81</v>
      </c>
      <c r="B35" t="s">
        <v>34</v>
      </c>
      <c r="C35" s="1">
        <v>45713</v>
      </c>
      <c r="D35" t="s">
        <v>61</v>
      </c>
      <c r="E35" t="s">
        <v>68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37</v>
      </c>
      <c r="N35">
        <f t="shared" si="0"/>
        <v>5.7655717106444085E-2</v>
      </c>
      <c r="O35">
        <f t="shared" si="1"/>
        <v>0.18531784517185629</v>
      </c>
      <c r="P35">
        <v>4839</v>
      </c>
    </row>
    <row r="36" spans="1:16" x14ac:dyDescent="0.3">
      <c r="A36" t="s">
        <v>82</v>
      </c>
      <c r="B36" t="s">
        <v>34</v>
      </c>
      <c r="C36" s="1">
        <v>45642</v>
      </c>
      <c r="D36" t="s">
        <v>24</v>
      </c>
      <c r="E36" t="s">
        <v>83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26</v>
      </c>
      <c r="M36" t="s">
        <v>27</v>
      </c>
      <c r="N36">
        <f t="shared" si="0"/>
        <v>0.28245270711024134</v>
      </c>
      <c r="O36">
        <f t="shared" si="1"/>
        <v>0.18531784517185629</v>
      </c>
      <c r="P36">
        <v>39272</v>
      </c>
    </row>
    <row r="37" spans="1:16" x14ac:dyDescent="0.3">
      <c r="A37" t="s">
        <v>84</v>
      </c>
      <c r="B37" t="s">
        <v>17</v>
      </c>
      <c r="C37" s="1">
        <v>45504</v>
      </c>
      <c r="D37" t="s">
        <v>42</v>
      </c>
      <c r="E37" t="s">
        <v>45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37</v>
      </c>
      <c r="M37" t="s">
        <v>21</v>
      </c>
      <c r="N37">
        <f t="shared" si="0"/>
        <v>0.19088381621305239</v>
      </c>
      <c r="O37">
        <f t="shared" si="1"/>
        <v>0.13739368723551609</v>
      </c>
      <c r="P37">
        <v>16804</v>
      </c>
    </row>
    <row r="38" spans="1:16" x14ac:dyDescent="0.3">
      <c r="A38" t="s">
        <v>85</v>
      </c>
      <c r="B38" t="s">
        <v>41</v>
      </c>
      <c r="C38" s="1">
        <v>45525</v>
      </c>
      <c r="D38" t="s">
        <v>47</v>
      </c>
      <c r="E38" t="s">
        <v>52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26</v>
      </c>
      <c r="M38" t="s">
        <v>21</v>
      </c>
      <c r="N38">
        <f t="shared" si="0"/>
        <v>0.12781331438047855</v>
      </c>
      <c r="O38">
        <f t="shared" si="1"/>
        <v>0.12094203382654924</v>
      </c>
      <c r="P38">
        <v>49303</v>
      </c>
    </row>
    <row r="39" spans="1:16" x14ac:dyDescent="0.3">
      <c r="A39" t="s">
        <v>86</v>
      </c>
      <c r="B39" t="s">
        <v>41</v>
      </c>
      <c r="C39" s="1">
        <v>45742</v>
      </c>
      <c r="D39" t="s">
        <v>24</v>
      </c>
      <c r="E39" t="s">
        <v>50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26</v>
      </c>
      <c r="M39" t="s">
        <v>32</v>
      </c>
      <c r="N39">
        <f t="shared" si="0"/>
        <v>7.055421038471886E-2</v>
      </c>
      <c r="O39">
        <f t="shared" si="1"/>
        <v>0.12094203382654924</v>
      </c>
      <c r="P39">
        <v>26455</v>
      </c>
    </row>
    <row r="40" spans="1:16" x14ac:dyDescent="0.3">
      <c r="A40" t="s">
        <v>87</v>
      </c>
      <c r="B40" t="s">
        <v>34</v>
      </c>
      <c r="C40" s="1">
        <v>45626</v>
      </c>
      <c r="D40" t="s">
        <v>61</v>
      </c>
      <c r="E40" t="s">
        <v>68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20</v>
      </c>
      <c r="M40" t="s">
        <v>27</v>
      </c>
      <c r="N40">
        <f t="shared" si="0"/>
        <v>0.11861662987490802</v>
      </c>
      <c r="O40">
        <f t="shared" si="1"/>
        <v>0.18531784517185629</v>
      </c>
      <c r="P40">
        <v>12384</v>
      </c>
    </row>
    <row r="41" spans="1:16" x14ac:dyDescent="0.3">
      <c r="A41" t="s">
        <v>88</v>
      </c>
      <c r="B41" t="s">
        <v>34</v>
      </c>
      <c r="C41" s="1">
        <v>45766</v>
      </c>
      <c r="D41" t="s">
        <v>35</v>
      </c>
      <c r="E41" t="s">
        <v>36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37</v>
      </c>
      <c r="M41" t="s">
        <v>27</v>
      </c>
      <c r="N41">
        <f t="shared" si="0"/>
        <v>7.6523535487678915E-2</v>
      </c>
      <c r="O41">
        <f t="shared" si="1"/>
        <v>0.18531784517185629</v>
      </c>
      <c r="P41">
        <v>49372</v>
      </c>
    </row>
    <row r="42" spans="1:16" x14ac:dyDescent="0.3">
      <c r="A42" t="s">
        <v>89</v>
      </c>
      <c r="B42" t="s">
        <v>41</v>
      </c>
      <c r="C42" s="1">
        <v>45663</v>
      </c>
      <c r="D42" t="s">
        <v>42</v>
      </c>
      <c r="E42" t="s">
        <v>43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37</v>
      </c>
      <c r="M42" t="s">
        <v>27</v>
      </c>
      <c r="N42">
        <f t="shared" si="0"/>
        <v>0.17770337301587302</v>
      </c>
      <c r="O42">
        <f t="shared" si="1"/>
        <v>0.12094203382654924</v>
      </c>
      <c r="P42">
        <v>47101</v>
      </c>
    </row>
    <row r="43" spans="1:16" x14ac:dyDescent="0.3">
      <c r="A43" t="s">
        <v>90</v>
      </c>
      <c r="B43" t="s">
        <v>30</v>
      </c>
      <c r="C43" s="1">
        <v>45705</v>
      </c>
      <c r="D43" t="s">
        <v>18</v>
      </c>
      <c r="E43" t="s">
        <v>31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26</v>
      </c>
      <c r="M43" t="s">
        <v>38</v>
      </c>
      <c r="N43">
        <f t="shared" si="0"/>
        <v>0.12577012959422137</v>
      </c>
      <c r="O43">
        <f t="shared" si="1"/>
        <v>0.13298735096853673</v>
      </c>
      <c r="P43">
        <v>37903</v>
      </c>
    </row>
    <row r="44" spans="1:16" x14ac:dyDescent="0.3">
      <c r="A44" t="s">
        <v>91</v>
      </c>
      <c r="B44" t="s">
        <v>41</v>
      </c>
      <c r="C44" s="1">
        <v>45621</v>
      </c>
      <c r="D44" t="s">
        <v>47</v>
      </c>
      <c r="E44" t="s">
        <v>52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26</v>
      </c>
      <c r="N44">
        <f t="shared" si="0"/>
        <v>7.2126493695121141E-2</v>
      </c>
      <c r="O44">
        <f t="shared" si="1"/>
        <v>0.12094203382654924</v>
      </c>
      <c r="P44">
        <v>33258</v>
      </c>
    </row>
    <row r="45" spans="1:16" x14ac:dyDescent="0.3">
      <c r="A45" t="s">
        <v>92</v>
      </c>
      <c r="B45" t="s">
        <v>17</v>
      </c>
      <c r="C45" s="1">
        <v>45723</v>
      </c>
      <c r="D45" t="s">
        <v>47</v>
      </c>
      <c r="E45" t="s">
        <v>93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37</v>
      </c>
      <c r="M45" t="s">
        <v>38</v>
      </c>
      <c r="N45">
        <f t="shared" si="0"/>
        <v>0.13989473684210527</v>
      </c>
      <c r="O45">
        <f t="shared" si="1"/>
        <v>0.13739368723551609</v>
      </c>
      <c r="P45">
        <v>6915</v>
      </c>
    </row>
    <row r="46" spans="1:16" x14ac:dyDescent="0.3">
      <c r="A46" t="s">
        <v>94</v>
      </c>
      <c r="B46" t="s">
        <v>34</v>
      </c>
      <c r="C46" s="1">
        <v>45724</v>
      </c>
      <c r="D46" t="s">
        <v>18</v>
      </c>
      <c r="E46" t="s">
        <v>66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20</v>
      </c>
      <c r="M46" t="s">
        <v>38</v>
      </c>
      <c r="N46">
        <f t="shared" si="0"/>
        <v>0.18433235867446393</v>
      </c>
      <c r="O46">
        <f t="shared" si="1"/>
        <v>0.18531784517185629</v>
      </c>
      <c r="P46">
        <v>35501</v>
      </c>
    </row>
    <row r="47" spans="1:16" x14ac:dyDescent="0.3">
      <c r="A47" t="s">
        <v>95</v>
      </c>
      <c r="B47" t="s">
        <v>30</v>
      </c>
      <c r="C47" s="1">
        <v>45721</v>
      </c>
      <c r="D47" t="s">
        <v>18</v>
      </c>
      <c r="E47" t="s">
        <v>31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37</v>
      </c>
      <c r="N47">
        <f t="shared" si="0"/>
        <v>0.21840570317563188</v>
      </c>
      <c r="O47">
        <f t="shared" si="1"/>
        <v>0.13298735096853673</v>
      </c>
      <c r="P47">
        <v>14203</v>
      </c>
    </row>
    <row r="48" spans="1:16" x14ac:dyDescent="0.3">
      <c r="A48" t="s">
        <v>96</v>
      </c>
      <c r="B48" t="s">
        <v>34</v>
      </c>
      <c r="C48" s="1">
        <v>45640</v>
      </c>
      <c r="D48" t="s">
        <v>42</v>
      </c>
      <c r="E48" t="s">
        <v>70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26</v>
      </c>
      <c r="M48" t="s">
        <v>32</v>
      </c>
      <c r="N48">
        <f t="shared" si="0"/>
        <v>0.21826126954921804</v>
      </c>
      <c r="O48">
        <f t="shared" si="1"/>
        <v>0.18531784517185629</v>
      </c>
      <c r="P48">
        <v>22206</v>
      </c>
    </row>
    <row r="49" spans="1:16" x14ac:dyDescent="0.3">
      <c r="A49" t="s">
        <v>97</v>
      </c>
      <c r="B49" t="s">
        <v>17</v>
      </c>
      <c r="C49" s="1">
        <v>45718</v>
      </c>
      <c r="D49" t="s">
        <v>47</v>
      </c>
      <c r="E49" t="s">
        <v>93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26</v>
      </c>
      <c r="N49">
        <f t="shared" si="0"/>
        <v>9.8558100084817649E-2</v>
      </c>
      <c r="O49">
        <f t="shared" si="1"/>
        <v>0.13739368723551609</v>
      </c>
      <c r="P49">
        <v>10283</v>
      </c>
    </row>
    <row r="50" spans="1:16" x14ac:dyDescent="0.3">
      <c r="A50" t="s">
        <v>98</v>
      </c>
      <c r="B50" t="s">
        <v>41</v>
      </c>
      <c r="C50" s="1">
        <v>45597</v>
      </c>
      <c r="D50" t="s">
        <v>61</v>
      </c>
      <c r="E50" t="s">
        <v>62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20</v>
      </c>
      <c r="M50" t="s">
        <v>21</v>
      </c>
      <c r="N50">
        <f t="shared" si="0"/>
        <v>7.5229902106199939E-2</v>
      </c>
      <c r="O50">
        <f t="shared" si="1"/>
        <v>0.12094203382654924</v>
      </c>
      <c r="P50">
        <v>24913</v>
      </c>
    </row>
    <row r="51" spans="1:16" x14ac:dyDescent="0.3">
      <c r="A51" t="s">
        <v>99</v>
      </c>
      <c r="B51" t="s">
        <v>17</v>
      </c>
      <c r="C51" s="1">
        <v>45779</v>
      </c>
      <c r="D51" t="s">
        <v>61</v>
      </c>
      <c r="E51" t="s">
        <v>100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26</v>
      </c>
      <c r="M51" t="s">
        <v>38</v>
      </c>
      <c r="N51">
        <f t="shared" si="0"/>
        <v>0.16888537906137185</v>
      </c>
      <c r="O51">
        <f t="shared" si="1"/>
        <v>0.13739368723551609</v>
      </c>
      <c r="P51">
        <v>26925</v>
      </c>
    </row>
    <row r="52" spans="1:16" x14ac:dyDescent="0.3">
      <c r="A52" t="s">
        <v>101</v>
      </c>
      <c r="B52" t="s">
        <v>17</v>
      </c>
      <c r="C52" s="1">
        <v>45712</v>
      </c>
      <c r="D52" t="s">
        <v>42</v>
      </c>
      <c r="E52" t="s">
        <v>45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20</v>
      </c>
      <c r="N52">
        <f t="shared" si="0"/>
        <v>0.16683616863905326</v>
      </c>
      <c r="O52">
        <f t="shared" si="1"/>
        <v>0.13739368723551609</v>
      </c>
      <c r="P52">
        <v>9942</v>
      </c>
    </row>
    <row r="53" spans="1:16" x14ac:dyDescent="0.3">
      <c r="A53" t="s">
        <v>102</v>
      </c>
      <c r="B53" t="s">
        <v>17</v>
      </c>
      <c r="C53" s="1">
        <v>45727</v>
      </c>
      <c r="D53" t="s">
        <v>35</v>
      </c>
      <c r="E53" t="s">
        <v>103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26</v>
      </c>
      <c r="N53">
        <f t="shared" si="0"/>
        <v>7.349527665317139E-2</v>
      </c>
      <c r="O53">
        <f t="shared" si="1"/>
        <v>0.13739368723551609</v>
      </c>
      <c r="P53">
        <v>32929</v>
      </c>
    </row>
    <row r="54" spans="1:16" x14ac:dyDescent="0.3">
      <c r="A54" t="s">
        <v>104</v>
      </c>
      <c r="B54" t="s">
        <v>17</v>
      </c>
      <c r="C54" s="1">
        <v>45453</v>
      </c>
      <c r="D54" t="s">
        <v>35</v>
      </c>
      <c r="E54" t="s">
        <v>103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26</v>
      </c>
      <c r="M54" t="s">
        <v>38</v>
      </c>
      <c r="N54">
        <f t="shared" si="0"/>
        <v>0.10617801791554102</v>
      </c>
      <c r="O54">
        <f t="shared" si="1"/>
        <v>0.13739368723551609</v>
      </c>
      <c r="P54">
        <v>37829</v>
      </c>
    </row>
    <row r="55" spans="1:16" x14ac:dyDescent="0.3">
      <c r="A55" t="s">
        <v>105</v>
      </c>
      <c r="B55" t="s">
        <v>30</v>
      </c>
      <c r="C55" s="1">
        <v>45476</v>
      </c>
      <c r="D55" t="s">
        <v>35</v>
      </c>
      <c r="E55" t="s">
        <v>106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26</v>
      </c>
      <c r="M55" t="s">
        <v>32</v>
      </c>
      <c r="N55">
        <f t="shared" si="0"/>
        <v>0.13498547567175018</v>
      </c>
      <c r="O55">
        <f t="shared" si="1"/>
        <v>0.13298735096853673</v>
      </c>
      <c r="P55">
        <v>24384</v>
      </c>
    </row>
    <row r="56" spans="1:16" x14ac:dyDescent="0.3">
      <c r="A56" t="s">
        <v>107</v>
      </c>
      <c r="B56" t="s">
        <v>41</v>
      </c>
      <c r="C56" s="1">
        <v>45456</v>
      </c>
      <c r="D56" t="s">
        <v>42</v>
      </c>
      <c r="E56" t="s">
        <v>43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20</v>
      </c>
      <c r="M56" t="s">
        <v>27</v>
      </c>
      <c r="N56">
        <f t="shared" si="0"/>
        <v>7.8689839572192513E-2</v>
      </c>
      <c r="O56">
        <f t="shared" si="1"/>
        <v>0.12094203382654924</v>
      </c>
      <c r="P56">
        <v>25797</v>
      </c>
    </row>
    <row r="57" spans="1:16" x14ac:dyDescent="0.3">
      <c r="A57" t="s">
        <v>108</v>
      </c>
      <c r="B57" t="s">
        <v>41</v>
      </c>
      <c r="C57" s="1">
        <v>45660</v>
      </c>
      <c r="D57" t="s">
        <v>47</v>
      </c>
      <c r="E57" t="s">
        <v>52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26</v>
      </c>
      <c r="M57" t="s">
        <v>38</v>
      </c>
      <c r="N57">
        <f t="shared" si="0"/>
        <v>0.1569549774407219</v>
      </c>
      <c r="O57">
        <f t="shared" si="1"/>
        <v>0.12094203382654924</v>
      </c>
      <c r="P57">
        <v>12646</v>
      </c>
    </row>
    <row r="58" spans="1:16" x14ac:dyDescent="0.3">
      <c r="A58" t="s">
        <v>109</v>
      </c>
      <c r="B58" t="s">
        <v>30</v>
      </c>
      <c r="C58" s="1">
        <v>45712</v>
      </c>
      <c r="D58" t="s">
        <v>42</v>
      </c>
      <c r="E58" t="s">
        <v>57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37</v>
      </c>
      <c r="N58">
        <f t="shared" si="0"/>
        <v>0.36965174129353234</v>
      </c>
      <c r="O58">
        <f t="shared" si="1"/>
        <v>0.13298735096853673</v>
      </c>
      <c r="P58">
        <v>26663</v>
      </c>
    </row>
    <row r="59" spans="1:16" x14ac:dyDescent="0.3">
      <c r="A59" t="s">
        <v>109</v>
      </c>
      <c r="B59" t="s">
        <v>30</v>
      </c>
      <c r="C59" s="1">
        <v>45712</v>
      </c>
      <c r="D59" t="s">
        <v>42</v>
      </c>
      <c r="E59" t="s">
        <v>57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28</v>
      </c>
      <c r="N59">
        <f t="shared" si="0"/>
        <v>0.36965174129353234</v>
      </c>
      <c r="O59">
        <f t="shared" si="1"/>
        <v>0.13298735096853673</v>
      </c>
      <c r="P59">
        <v>40478</v>
      </c>
    </row>
    <row r="60" spans="1:16" x14ac:dyDescent="0.3">
      <c r="A60" t="s">
        <v>110</v>
      </c>
      <c r="B60" t="s">
        <v>30</v>
      </c>
      <c r="C60" s="1">
        <v>45729</v>
      </c>
      <c r="D60" t="s">
        <v>42</v>
      </c>
      <c r="E60" t="s">
        <v>57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20</v>
      </c>
      <c r="M60" t="s">
        <v>27</v>
      </c>
      <c r="N60">
        <f t="shared" si="0"/>
        <v>0.16510298716704411</v>
      </c>
      <c r="O60">
        <f t="shared" si="1"/>
        <v>0.13298735096853673</v>
      </c>
      <c r="P60">
        <v>15476</v>
      </c>
    </row>
    <row r="61" spans="1:16" x14ac:dyDescent="0.3">
      <c r="A61" t="s">
        <v>111</v>
      </c>
      <c r="B61" t="s">
        <v>41</v>
      </c>
      <c r="C61" s="1">
        <v>45460</v>
      </c>
      <c r="D61" t="s">
        <v>47</v>
      </c>
      <c r="E61" t="s">
        <v>52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37</v>
      </c>
      <c r="M61" t="s">
        <v>38</v>
      </c>
      <c r="N61">
        <f t="shared" si="0"/>
        <v>9.1897770527460579E-2</v>
      </c>
      <c r="O61">
        <f t="shared" si="1"/>
        <v>0.12094203382654924</v>
      </c>
      <c r="P61">
        <v>10217</v>
      </c>
    </row>
    <row r="62" spans="1:16" x14ac:dyDescent="0.3">
      <c r="A62" t="s">
        <v>112</v>
      </c>
      <c r="B62" t="s">
        <v>41</v>
      </c>
      <c r="C62" s="1">
        <v>45644</v>
      </c>
      <c r="D62" t="s">
        <v>42</v>
      </c>
      <c r="E62" t="s">
        <v>43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20</v>
      </c>
      <c r="M62" t="s">
        <v>32</v>
      </c>
      <c r="N62">
        <f t="shared" si="0"/>
        <v>0.12936184657162253</v>
      </c>
      <c r="O62">
        <f t="shared" si="1"/>
        <v>0.12094203382654924</v>
      </c>
      <c r="P62">
        <v>21939</v>
      </c>
    </row>
    <row r="63" spans="1:16" x14ac:dyDescent="0.3">
      <c r="A63" t="s">
        <v>113</v>
      </c>
      <c r="B63" t="s">
        <v>17</v>
      </c>
      <c r="C63" s="1">
        <v>45586</v>
      </c>
      <c r="D63" t="s">
        <v>61</v>
      </c>
      <c r="E63" t="s">
        <v>100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26</v>
      </c>
      <c r="M63" t="s">
        <v>21</v>
      </c>
      <c r="N63">
        <f t="shared" si="0"/>
        <v>8.0862831858407078E-2</v>
      </c>
      <c r="O63">
        <f t="shared" si="1"/>
        <v>0.13739368723551609</v>
      </c>
      <c r="P63">
        <v>47462</v>
      </c>
    </row>
    <row r="64" spans="1:16" x14ac:dyDescent="0.3">
      <c r="A64" t="s">
        <v>114</v>
      </c>
      <c r="B64" t="s">
        <v>34</v>
      </c>
      <c r="C64" s="1">
        <v>45762</v>
      </c>
      <c r="D64" t="s">
        <v>18</v>
      </c>
      <c r="E64" t="s">
        <v>66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26</v>
      </c>
      <c r="M64" t="s">
        <v>38</v>
      </c>
      <c r="N64">
        <f t="shared" si="0"/>
        <v>0.86601941747572819</v>
      </c>
      <c r="O64">
        <f t="shared" si="1"/>
        <v>0.18531784517185629</v>
      </c>
      <c r="P64">
        <v>30270</v>
      </c>
    </row>
    <row r="65" spans="1:16" x14ac:dyDescent="0.3">
      <c r="A65" t="s">
        <v>115</v>
      </c>
      <c r="B65" t="s">
        <v>34</v>
      </c>
      <c r="C65" s="1">
        <v>45465</v>
      </c>
      <c r="D65" t="s">
        <v>24</v>
      </c>
      <c r="E65" t="s">
        <v>83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37</v>
      </c>
      <c r="N65">
        <f t="shared" si="0"/>
        <v>9.2726081258191345E-2</v>
      </c>
      <c r="O65">
        <f t="shared" si="1"/>
        <v>0.18531784517185629</v>
      </c>
      <c r="P65">
        <v>5442</v>
      </c>
    </row>
    <row r="66" spans="1:16" x14ac:dyDescent="0.3">
      <c r="A66" t="s">
        <v>116</v>
      </c>
      <c r="B66" t="s">
        <v>34</v>
      </c>
      <c r="C66" s="1">
        <v>45685</v>
      </c>
      <c r="D66" t="s">
        <v>61</v>
      </c>
      <c r="E66" t="s">
        <v>68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37</v>
      </c>
      <c r="M66" t="s">
        <v>32</v>
      </c>
      <c r="N66">
        <f t="shared" ref="N66:N129" si="2">(F66+G66+H66)/I66</f>
        <v>0.1650782845473111</v>
      </c>
      <c r="O66">
        <f t="shared" ref="O66:O129" si="3">AVERAGEIF(B:B,B66,N:N)</f>
        <v>0.18531784517185629</v>
      </c>
      <c r="P66">
        <v>1083</v>
      </c>
    </row>
    <row r="67" spans="1:16" x14ac:dyDescent="0.3">
      <c r="A67" t="s">
        <v>116</v>
      </c>
      <c r="B67" t="s">
        <v>34</v>
      </c>
      <c r="C67" s="1">
        <v>45685</v>
      </c>
      <c r="D67" t="s">
        <v>61</v>
      </c>
      <c r="E67" t="s">
        <v>68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26</v>
      </c>
      <c r="M67" t="s">
        <v>32</v>
      </c>
      <c r="N67">
        <f t="shared" si="2"/>
        <v>0.1650782845473111</v>
      </c>
      <c r="O67">
        <f t="shared" si="3"/>
        <v>0.18531784517185629</v>
      </c>
      <c r="P67">
        <v>11901</v>
      </c>
    </row>
    <row r="68" spans="1:16" x14ac:dyDescent="0.3">
      <c r="A68" t="s">
        <v>116</v>
      </c>
      <c r="B68" t="s">
        <v>34</v>
      </c>
      <c r="C68" s="1">
        <v>45685</v>
      </c>
      <c r="D68" t="s">
        <v>61</v>
      </c>
      <c r="E68" t="s">
        <v>68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22</v>
      </c>
      <c r="M68" t="s">
        <v>32</v>
      </c>
      <c r="N68">
        <f t="shared" si="2"/>
        <v>0.1650782845473111</v>
      </c>
      <c r="O68">
        <f t="shared" si="3"/>
        <v>0.18531784517185629</v>
      </c>
      <c r="P68">
        <v>24018</v>
      </c>
    </row>
    <row r="69" spans="1:16" x14ac:dyDescent="0.3">
      <c r="A69" t="s">
        <v>117</v>
      </c>
      <c r="B69" t="s">
        <v>17</v>
      </c>
      <c r="C69" s="1">
        <v>45540</v>
      </c>
      <c r="D69" t="s">
        <v>61</v>
      </c>
      <c r="E69" t="s">
        <v>100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26</v>
      </c>
      <c r="M69" t="s">
        <v>21</v>
      </c>
      <c r="N69">
        <f t="shared" si="2"/>
        <v>0.14276618001546368</v>
      </c>
      <c r="O69">
        <f t="shared" si="3"/>
        <v>0.13739368723551609</v>
      </c>
      <c r="P69">
        <v>38883</v>
      </c>
    </row>
    <row r="70" spans="1:16" x14ac:dyDescent="0.3">
      <c r="A70" t="s">
        <v>118</v>
      </c>
      <c r="B70" t="s">
        <v>17</v>
      </c>
      <c r="C70" s="1">
        <v>45618</v>
      </c>
      <c r="D70" t="s">
        <v>42</v>
      </c>
      <c r="E70" t="s">
        <v>45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26</v>
      </c>
      <c r="M70" t="s">
        <v>32</v>
      </c>
      <c r="N70">
        <f t="shared" si="2"/>
        <v>0.53773584905660377</v>
      </c>
      <c r="O70">
        <f t="shared" si="3"/>
        <v>0.13739368723551609</v>
      </c>
      <c r="P70">
        <v>30575</v>
      </c>
    </row>
    <row r="71" spans="1:16" x14ac:dyDescent="0.3">
      <c r="A71" t="s">
        <v>119</v>
      </c>
      <c r="B71" t="s">
        <v>17</v>
      </c>
      <c r="C71" s="1">
        <v>45504</v>
      </c>
      <c r="D71" t="s">
        <v>42</v>
      </c>
      <c r="E71" t="s">
        <v>45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20</v>
      </c>
      <c r="M71" t="s">
        <v>32</v>
      </c>
      <c r="N71">
        <f t="shared" si="2"/>
        <v>5.2551586421122697E-2</v>
      </c>
      <c r="O71">
        <f t="shared" si="3"/>
        <v>0.13739368723551609</v>
      </c>
      <c r="P71">
        <v>2315</v>
      </c>
    </row>
    <row r="72" spans="1:16" x14ac:dyDescent="0.3">
      <c r="A72" t="s">
        <v>120</v>
      </c>
      <c r="B72" t="s">
        <v>41</v>
      </c>
      <c r="C72" s="1">
        <v>45521</v>
      </c>
      <c r="D72" t="s">
        <v>47</v>
      </c>
      <c r="E72" t="s">
        <v>52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20</v>
      </c>
      <c r="M72" t="s">
        <v>32</v>
      </c>
      <c r="N72">
        <f t="shared" si="2"/>
        <v>8.2047718322909427E-2</v>
      </c>
      <c r="O72">
        <f t="shared" si="3"/>
        <v>0.12094203382654924</v>
      </c>
      <c r="P72">
        <v>12148</v>
      </c>
    </row>
    <row r="73" spans="1:16" x14ac:dyDescent="0.3">
      <c r="A73" t="s">
        <v>121</v>
      </c>
      <c r="B73" t="s">
        <v>34</v>
      </c>
      <c r="C73" s="1">
        <v>45744</v>
      </c>
      <c r="D73" t="s">
        <v>35</v>
      </c>
      <c r="E73" t="s">
        <v>36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37</v>
      </c>
      <c r="N73">
        <f t="shared" si="2"/>
        <v>0.11990720603160794</v>
      </c>
      <c r="O73">
        <f t="shared" si="3"/>
        <v>0.18531784517185629</v>
      </c>
      <c r="P73">
        <v>36851</v>
      </c>
    </row>
    <row r="74" spans="1:16" x14ac:dyDescent="0.3">
      <c r="A74" t="s">
        <v>122</v>
      </c>
      <c r="B74" t="s">
        <v>17</v>
      </c>
      <c r="C74" s="1">
        <v>45499</v>
      </c>
      <c r="D74" t="s">
        <v>42</v>
      </c>
      <c r="E74" t="s">
        <v>45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37</v>
      </c>
      <c r="M74" t="s">
        <v>21</v>
      </c>
      <c r="N74">
        <f t="shared" si="2"/>
        <v>0.29199735449735448</v>
      </c>
      <c r="O74">
        <f t="shared" si="3"/>
        <v>0.13739368723551609</v>
      </c>
      <c r="P74">
        <v>41215</v>
      </c>
    </row>
    <row r="75" spans="1:16" x14ac:dyDescent="0.3">
      <c r="A75" t="s">
        <v>123</v>
      </c>
      <c r="B75" t="s">
        <v>41</v>
      </c>
      <c r="C75" s="1">
        <v>45745</v>
      </c>
      <c r="D75" t="s">
        <v>42</v>
      </c>
      <c r="E75" t="s">
        <v>43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37</v>
      </c>
      <c r="M75" t="s">
        <v>32</v>
      </c>
      <c r="N75">
        <f t="shared" si="2"/>
        <v>6.3749764195434822E-2</v>
      </c>
      <c r="O75">
        <f t="shared" si="3"/>
        <v>0.12094203382654924</v>
      </c>
      <c r="P75">
        <v>43836</v>
      </c>
    </row>
    <row r="76" spans="1:16" x14ac:dyDescent="0.3">
      <c r="A76" t="s">
        <v>124</v>
      </c>
      <c r="B76" t="s">
        <v>34</v>
      </c>
      <c r="C76" s="1">
        <v>45634</v>
      </c>
      <c r="D76" t="s">
        <v>35</v>
      </c>
      <c r="E76" t="s">
        <v>36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37</v>
      </c>
      <c r="N76">
        <f t="shared" si="2"/>
        <v>0.19310344827586207</v>
      </c>
      <c r="O76">
        <f t="shared" si="3"/>
        <v>0.18531784517185629</v>
      </c>
      <c r="P76">
        <v>4509</v>
      </c>
    </row>
    <row r="77" spans="1:16" x14ac:dyDescent="0.3">
      <c r="A77" t="s">
        <v>125</v>
      </c>
      <c r="B77" t="s">
        <v>17</v>
      </c>
      <c r="C77" s="1">
        <v>45724</v>
      </c>
      <c r="D77" t="s">
        <v>24</v>
      </c>
      <c r="E77" t="s">
        <v>25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20</v>
      </c>
      <c r="M77" t="s">
        <v>32</v>
      </c>
      <c r="N77">
        <f t="shared" si="2"/>
        <v>9.3421052631578946E-2</v>
      </c>
      <c r="O77">
        <f t="shared" si="3"/>
        <v>0.13739368723551609</v>
      </c>
      <c r="P77">
        <v>27822</v>
      </c>
    </row>
    <row r="78" spans="1:16" x14ac:dyDescent="0.3">
      <c r="A78" t="s">
        <v>126</v>
      </c>
      <c r="B78" t="s">
        <v>41</v>
      </c>
      <c r="C78" s="1">
        <v>45749</v>
      </c>
      <c r="D78" t="s">
        <v>61</v>
      </c>
      <c r="E78" t="s">
        <v>62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26</v>
      </c>
      <c r="N78">
        <f t="shared" si="2"/>
        <v>0.38274706867671693</v>
      </c>
      <c r="O78">
        <f t="shared" si="3"/>
        <v>0.12094203382654924</v>
      </c>
      <c r="P78">
        <v>36397</v>
      </c>
    </row>
    <row r="79" spans="1:16" x14ac:dyDescent="0.3">
      <c r="A79" t="s">
        <v>127</v>
      </c>
      <c r="B79" t="s">
        <v>30</v>
      </c>
      <c r="C79" s="1">
        <v>45537</v>
      </c>
      <c r="D79" t="s">
        <v>42</v>
      </c>
      <c r="E79" t="s">
        <v>57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26</v>
      </c>
      <c r="M79" t="s">
        <v>27</v>
      </c>
      <c r="N79">
        <f t="shared" si="2"/>
        <v>0.1199202926956749</v>
      </c>
      <c r="O79">
        <f t="shared" si="3"/>
        <v>0.13298735096853673</v>
      </c>
      <c r="P79">
        <v>7285</v>
      </c>
    </row>
    <row r="80" spans="1:16" x14ac:dyDescent="0.3">
      <c r="A80" t="s">
        <v>128</v>
      </c>
      <c r="B80" t="s">
        <v>30</v>
      </c>
      <c r="C80" s="1">
        <v>45719</v>
      </c>
      <c r="D80" t="s">
        <v>18</v>
      </c>
      <c r="E80" t="s">
        <v>31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37</v>
      </c>
      <c r="M80" t="s">
        <v>27</v>
      </c>
      <c r="N80">
        <f t="shared" si="2"/>
        <v>8.837126600284495E-2</v>
      </c>
      <c r="O80">
        <f t="shared" si="3"/>
        <v>0.13298735096853673</v>
      </c>
      <c r="P80">
        <v>33174</v>
      </c>
    </row>
    <row r="81" spans="1:16" x14ac:dyDescent="0.3">
      <c r="A81" t="s">
        <v>129</v>
      </c>
      <c r="B81" t="s">
        <v>41</v>
      </c>
      <c r="C81" s="1">
        <v>45583</v>
      </c>
      <c r="D81" t="s">
        <v>35</v>
      </c>
      <c r="E81" t="s">
        <v>59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20</v>
      </c>
      <c r="M81" t="s">
        <v>38</v>
      </c>
      <c r="N81">
        <f t="shared" si="2"/>
        <v>6.4265122330790625E-2</v>
      </c>
      <c r="O81">
        <f t="shared" si="3"/>
        <v>0.12094203382654924</v>
      </c>
      <c r="P81">
        <v>6742</v>
      </c>
    </row>
    <row r="82" spans="1:16" x14ac:dyDescent="0.3">
      <c r="A82" t="s">
        <v>130</v>
      </c>
      <c r="B82" t="s">
        <v>30</v>
      </c>
      <c r="C82" s="1">
        <v>45593</v>
      </c>
      <c r="D82" t="s">
        <v>18</v>
      </c>
      <c r="E82" t="s">
        <v>31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26</v>
      </c>
      <c r="M82" t="s">
        <v>32</v>
      </c>
      <c r="N82">
        <f t="shared" si="2"/>
        <v>0.13351302785265048</v>
      </c>
      <c r="O82">
        <f t="shared" si="3"/>
        <v>0.13298735096853673</v>
      </c>
      <c r="P82">
        <v>32478</v>
      </c>
    </row>
    <row r="83" spans="1:16" x14ac:dyDescent="0.3">
      <c r="A83" t="s">
        <v>131</v>
      </c>
      <c r="B83" t="s">
        <v>34</v>
      </c>
      <c r="C83" s="1">
        <v>45505</v>
      </c>
      <c r="D83" t="s">
        <v>18</v>
      </c>
      <c r="E83" t="s">
        <v>66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26</v>
      </c>
      <c r="M83" t="s">
        <v>38</v>
      </c>
      <c r="N83">
        <f t="shared" si="2"/>
        <v>0.12131237937689551</v>
      </c>
      <c r="O83">
        <f t="shared" si="3"/>
        <v>0.18531784517185629</v>
      </c>
      <c r="P83">
        <v>42824</v>
      </c>
    </row>
    <row r="84" spans="1:16" x14ac:dyDescent="0.3">
      <c r="A84" t="s">
        <v>132</v>
      </c>
      <c r="B84" t="s">
        <v>17</v>
      </c>
      <c r="C84" s="1">
        <v>45603</v>
      </c>
      <c r="D84" t="s">
        <v>35</v>
      </c>
      <c r="E84" t="s">
        <v>103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26</v>
      </c>
      <c r="M84" t="s">
        <v>38</v>
      </c>
      <c r="N84">
        <f t="shared" si="2"/>
        <v>8.1177520071364848E-2</v>
      </c>
      <c r="O84">
        <f t="shared" si="3"/>
        <v>0.13739368723551609</v>
      </c>
      <c r="P84">
        <v>21208</v>
      </c>
    </row>
    <row r="85" spans="1:16" x14ac:dyDescent="0.3">
      <c r="A85" t="s">
        <v>133</v>
      </c>
      <c r="B85" t="s">
        <v>41</v>
      </c>
      <c r="C85" s="1">
        <v>45720</v>
      </c>
      <c r="D85" t="s">
        <v>35</v>
      </c>
      <c r="E85" t="s">
        <v>59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26</v>
      </c>
      <c r="N85">
        <f t="shared" si="2"/>
        <v>0.20416333066453163</v>
      </c>
      <c r="O85">
        <f t="shared" si="3"/>
        <v>0.12094203382654924</v>
      </c>
      <c r="P85">
        <v>44321</v>
      </c>
    </row>
    <row r="86" spans="1:16" x14ac:dyDescent="0.3">
      <c r="A86" t="s">
        <v>134</v>
      </c>
      <c r="B86" t="s">
        <v>17</v>
      </c>
      <c r="C86" s="1">
        <v>45460</v>
      </c>
      <c r="D86" t="s">
        <v>47</v>
      </c>
      <c r="E86" t="s">
        <v>93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20</v>
      </c>
      <c r="M86" t="s">
        <v>38</v>
      </c>
      <c r="N86">
        <f t="shared" si="2"/>
        <v>8.2075471698113203E-2</v>
      </c>
      <c r="O86">
        <f t="shared" si="3"/>
        <v>0.13739368723551609</v>
      </c>
      <c r="P86">
        <v>13116</v>
      </c>
    </row>
    <row r="87" spans="1:16" x14ac:dyDescent="0.3">
      <c r="A87" t="s">
        <v>135</v>
      </c>
      <c r="B87" t="s">
        <v>34</v>
      </c>
      <c r="C87" s="1">
        <v>45574</v>
      </c>
      <c r="D87" t="s">
        <v>42</v>
      </c>
      <c r="E87" t="s">
        <v>70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37</v>
      </c>
      <c r="M87" t="s">
        <v>27</v>
      </c>
      <c r="N87">
        <f t="shared" si="2"/>
        <v>8.860696018453515E-2</v>
      </c>
      <c r="O87">
        <f t="shared" si="3"/>
        <v>0.18531784517185629</v>
      </c>
      <c r="P87">
        <v>30214</v>
      </c>
    </row>
    <row r="88" spans="1:16" x14ac:dyDescent="0.3">
      <c r="A88" t="s">
        <v>136</v>
      </c>
      <c r="B88" t="s">
        <v>34</v>
      </c>
      <c r="C88" s="1">
        <v>45456</v>
      </c>
      <c r="D88" t="s">
        <v>35</v>
      </c>
      <c r="E88" t="s">
        <v>36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20</v>
      </c>
      <c r="N88">
        <f t="shared" si="2"/>
        <v>7.7533348349475686E-2</v>
      </c>
      <c r="O88">
        <f t="shared" si="3"/>
        <v>0.18531784517185629</v>
      </c>
      <c r="P88">
        <v>15827</v>
      </c>
    </row>
    <row r="89" spans="1:16" x14ac:dyDescent="0.3">
      <c r="A89" t="s">
        <v>137</v>
      </c>
      <c r="B89" t="s">
        <v>34</v>
      </c>
      <c r="C89" s="1">
        <v>45584</v>
      </c>
      <c r="D89" t="s">
        <v>35</v>
      </c>
      <c r="E89" t="s">
        <v>36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26</v>
      </c>
      <c r="M89" t="s">
        <v>32</v>
      </c>
      <c r="N89">
        <f t="shared" si="2"/>
        <v>9.4413295955146179E-2</v>
      </c>
      <c r="O89">
        <f t="shared" si="3"/>
        <v>0.18531784517185629</v>
      </c>
      <c r="P89">
        <v>46643</v>
      </c>
    </row>
    <row r="90" spans="1:16" x14ac:dyDescent="0.3">
      <c r="A90" t="s">
        <v>138</v>
      </c>
      <c r="B90" t="s">
        <v>34</v>
      </c>
      <c r="C90" s="1">
        <v>45497</v>
      </c>
      <c r="D90" t="s">
        <v>47</v>
      </c>
      <c r="E90" t="s">
        <v>139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20</v>
      </c>
      <c r="M90" t="s">
        <v>32</v>
      </c>
      <c r="N90">
        <f t="shared" si="2"/>
        <v>8.558620689655172E-2</v>
      </c>
      <c r="O90">
        <f t="shared" si="3"/>
        <v>0.18531784517185629</v>
      </c>
      <c r="P90">
        <v>36484</v>
      </c>
    </row>
    <row r="91" spans="1:16" x14ac:dyDescent="0.3">
      <c r="A91" t="s">
        <v>138</v>
      </c>
      <c r="B91" t="s">
        <v>34</v>
      </c>
      <c r="C91" s="1">
        <v>45497</v>
      </c>
      <c r="D91" t="s">
        <v>47</v>
      </c>
      <c r="E91" t="s">
        <v>139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26</v>
      </c>
      <c r="M91" t="s">
        <v>32</v>
      </c>
      <c r="N91">
        <f t="shared" si="2"/>
        <v>8.558620689655172E-2</v>
      </c>
      <c r="O91">
        <f t="shared" si="3"/>
        <v>0.18531784517185629</v>
      </c>
      <c r="P91">
        <v>4996</v>
      </c>
    </row>
    <row r="92" spans="1:16" x14ac:dyDescent="0.3">
      <c r="A92" t="s">
        <v>138</v>
      </c>
      <c r="B92" t="s">
        <v>34</v>
      </c>
      <c r="C92" s="1">
        <v>45497</v>
      </c>
      <c r="D92" t="s">
        <v>47</v>
      </c>
      <c r="E92" t="s">
        <v>139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22</v>
      </c>
      <c r="M92" t="s">
        <v>32</v>
      </c>
      <c r="N92">
        <f t="shared" si="2"/>
        <v>8.558620689655172E-2</v>
      </c>
      <c r="O92">
        <f t="shared" si="3"/>
        <v>0.18531784517185629</v>
      </c>
      <c r="P92">
        <v>36095</v>
      </c>
    </row>
    <row r="93" spans="1:16" x14ac:dyDescent="0.3">
      <c r="A93" t="s">
        <v>140</v>
      </c>
      <c r="B93" t="s">
        <v>30</v>
      </c>
      <c r="C93" s="1">
        <v>45580</v>
      </c>
      <c r="D93" t="s">
        <v>61</v>
      </c>
      <c r="E93" t="s">
        <v>141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37</v>
      </c>
      <c r="N93">
        <f t="shared" si="2"/>
        <v>0.16118220597196831</v>
      </c>
      <c r="O93">
        <f t="shared" si="3"/>
        <v>0.13298735096853673</v>
      </c>
      <c r="P93">
        <v>16443</v>
      </c>
    </row>
    <row r="94" spans="1:16" x14ac:dyDescent="0.3">
      <c r="A94" t="s">
        <v>142</v>
      </c>
      <c r="B94" t="s">
        <v>41</v>
      </c>
      <c r="C94" s="1">
        <v>45635</v>
      </c>
      <c r="D94" t="s">
        <v>47</v>
      </c>
      <c r="E94" t="s">
        <v>52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20</v>
      </c>
      <c r="M94" t="s">
        <v>38</v>
      </c>
      <c r="N94">
        <f t="shared" si="2"/>
        <v>8.6737756939878216E-2</v>
      </c>
      <c r="O94">
        <f t="shared" si="3"/>
        <v>0.12094203382654924</v>
      </c>
      <c r="P94">
        <v>47812</v>
      </c>
    </row>
    <row r="95" spans="1:16" x14ac:dyDescent="0.3">
      <c r="A95" t="s">
        <v>143</v>
      </c>
      <c r="B95" t="s">
        <v>34</v>
      </c>
      <c r="C95" s="1">
        <v>45766</v>
      </c>
      <c r="D95" t="s">
        <v>47</v>
      </c>
      <c r="E95" t="s">
        <v>139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20</v>
      </c>
      <c r="M95" t="s">
        <v>21</v>
      </c>
      <c r="N95">
        <f t="shared" si="2"/>
        <v>0.19156491900087783</v>
      </c>
      <c r="O95">
        <f t="shared" si="3"/>
        <v>0.18531784517185629</v>
      </c>
      <c r="P95">
        <v>38452</v>
      </c>
    </row>
    <row r="96" spans="1:16" x14ac:dyDescent="0.3">
      <c r="A96" t="s">
        <v>144</v>
      </c>
      <c r="B96" t="s">
        <v>30</v>
      </c>
      <c r="C96" s="1">
        <v>45684</v>
      </c>
      <c r="D96" t="s">
        <v>24</v>
      </c>
      <c r="E96" t="s">
        <v>78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37</v>
      </c>
      <c r="M96" t="s">
        <v>38</v>
      </c>
      <c r="N96">
        <f t="shared" si="2"/>
        <v>6.5515821264328367E-2</v>
      </c>
      <c r="O96">
        <f t="shared" si="3"/>
        <v>0.13298735096853673</v>
      </c>
      <c r="P96">
        <v>30428</v>
      </c>
    </row>
    <row r="97" spans="1:16" x14ac:dyDescent="0.3">
      <c r="A97" t="s">
        <v>144</v>
      </c>
      <c r="B97" t="s">
        <v>30</v>
      </c>
      <c r="C97" s="1">
        <v>45684</v>
      </c>
      <c r="D97" t="s">
        <v>24</v>
      </c>
      <c r="E97" t="s">
        <v>78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28</v>
      </c>
      <c r="M97" t="s">
        <v>38</v>
      </c>
      <c r="N97">
        <f t="shared" si="2"/>
        <v>6.5515821264328367E-2</v>
      </c>
      <c r="O97">
        <f t="shared" si="3"/>
        <v>0.13298735096853673</v>
      </c>
      <c r="P97">
        <v>9269</v>
      </c>
    </row>
    <row r="98" spans="1:16" x14ac:dyDescent="0.3">
      <c r="A98" t="s">
        <v>145</v>
      </c>
      <c r="B98" t="s">
        <v>17</v>
      </c>
      <c r="C98" s="1">
        <v>45449</v>
      </c>
      <c r="D98" t="s">
        <v>61</v>
      </c>
      <c r="E98" t="s">
        <v>100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20</v>
      </c>
      <c r="M98" t="s">
        <v>32</v>
      </c>
      <c r="N98">
        <f t="shared" si="2"/>
        <v>0.20868152274837512</v>
      </c>
      <c r="O98">
        <f t="shared" si="3"/>
        <v>0.13739368723551609</v>
      </c>
      <c r="P98">
        <v>29533</v>
      </c>
    </row>
    <row r="99" spans="1:16" x14ac:dyDescent="0.3">
      <c r="A99" t="s">
        <v>146</v>
      </c>
      <c r="B99" t="s">
        <v>41</v>
      </c>
      <c r="C99" s="1">
        <v>45480</v>
      </c>
      <c r="D99" t="s">
        <v>35</v>
      </c>
      <c r="E99" t="s">
        <v>59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26</v>
      </c>
      <c r="M99" t="s">
        <v>38</v>
      </c>
      <c r="N99">
        <f t="shared" si="2"/>
        <v>0.13576158940397351</v>
      </c>
      <c r="O99">
        <f t="shared" si="3"/>
        <v>0.12094203382654924</v>
      </c>
      <c r="P99">
        <v>39997</v>
      </c>
    </row>
    <row r="100" spans="1:16" x14ac:dyDescent="0.3">
      <c r="A100" t="s">
        <v>147</v>
      </c>
      <c r="B100" t="s">
        <v>17</v>
      </c>
      <c r="C100" s="1">
        <v>45667</v>
      </c>
      <c r="D100" t="s">
        <v>47</v>
      </c>
      <c r="E100" t="s">
        <v>93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37</v>
      </c>
      <c r="N100">
        <f t="shared" si="2"/>
        <v>0.16873144921925409</v>
      </c>
      <c r="O100">
        <f t="shared" si="3"/>
        <v>0.13739368723551609</v>
      </c>
      <c r="P100">
        <v>5391</v>
      </c>
    </row>
    <row r="101" spans="1:16" x14ac:dyDescent="0.3">
      <c r="A101" t="s">
        <v>148</v>
      </c>
      <c r="B101" t="s">
        <v>34</v>
      </c>
      <c r="C101" s="1">
        <v>45446</v>
      </c>
      <c r="D101" t="s">
        <v>47</v>
      </c>
      <c r="E101" t="s">
        <v>139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26</v>
      </c>
      <c r="M101" t="s">
        <v>38</v>
      </c>
      <c r="N101">
        <f t="shared" si="2"/>
        <v>7.0822181933293038E-2</v>
      </c>
      <c r="O101">
        <f t="shared" si="3"/>
        <v>0.18531784517185629</v>
      </c>
      <c r="P101">
        <v>22373</v>
      </c>
    </row>
    <row r="102" spans="1:16" x14ac:dyDescent="0.3">
      <c r="A102" t="s">
        <v>149</v>
      </c>
      <c r="B102" t="s">
        <v>41</v>
      </c>
      <c r="C102" s="1">
        <v>45740</v>
      </c>
      <c r="D102" t="s">
        <v>47</v>
      </c>
      <c r="E102" t="s">
        <v>52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37</v>
      </c>
      <c r="M102" t="s">
        <v>38</v>
      </c>
      <c r="N102">
        <f t="shared" si="2"/>
        <v>7.984956452889945E-2</v>
      </c>
      <c r="O102">
        <f t="shared" si="3"/>
        <v>0.12094203382654924</v>
      </c>
      <c r="P102">
        <v>1810</v>
      </c>
    </row>
    <row r="103" spans="1:16" x14ac:dyDescent="0.3">
      <c r="A103" t="s">
        <v>150</v>
      </c>
      <c r="B103" t="s">
        <v>17</v>
      </c>
      <c r="C103" s="1">
        <v>45586</v>
      </c>
      <c r="D103" t="s">
        <v>35</v>
      </c>
      <c r="E103" t="s">
        <v>103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20</v>
      </c>
      <c r="M103" t="s">
        <v>32</v>
      </c>
      <c r="N103">
        <f t="shared" si="2"/>
        <v>0.13599052880820836</v>
      </c>
      <c r="O103">
        <f t="shared" si="3"/>
        <v>0.13739368723551609</v>
      </c>
      <c r="P103">
        <v>28498</v>
      </c>
    </row>
    <row r="104" spans="1:16" x14ac:dyDescent="0.3">
      <c r="A104" t="s">
        <v>151</v>
      </c>
      <c r="B104" t="s">
        <v>34</v>
      </c>
      <c r="C104" s="1">
        <v>45637</v>
      </c>
      <c r="D104" t="s">
        <v>61</v>
      </c>
      <c r="E104" t="s">
        <v>68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37</v>
      </c>
      <c r="M104" t="s">
        <v>32</v>
      </c>
      <c r="N104">
        <f t="shared" si="2"/>
        <v>0.28045655718611695</v>
      </c>
      <c r="O104">
        <f t="shared" si="3"/>
        <v>0.18531784517185629</v>
      </c>
      <c r="P104">
        <v>39530</v>
      </c>
    </row>
    <row r="105" spans="1:16" x14ac:dyDescent="0.3">
      <c r="A105" t="s">
        <v>152</v>
      </c>
      <c r="B105" t="s">
        <v>34</v>
      </c>
      <c r="C105" s="1">
        <v>45603</v>
      </c>
      <c r="D105" t="s">
        <v>47</v>
      </c>
      <c r="E105" t="s">
        <v>139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20</v>
      </c>
      <c r="M105" t="s">
        <v>32</v>
      </c>
      <c r="N105">
        <f t="shared" si="2"/>
        <v>0.16843866371633656</v>
      </c>
      <c r="O105">
        <f t="shared" si="3"/>
        <v>0.18531784517185629</v>
      </c>
      <c r="P105">
        <v>37876</v>
      </c>
    </row>
    <row r="106" spans="1:16" x14ac:dyDescent="0.3">
      <c r="A106" t="s">
        <v>153</v>
      </c>
      <c r="B106" t="s">
        <v>34</v>
      </c>
      <c r="C106" s="1">
        <v>45604</v>
      </c>
      <c r="D106" t="s">
        <v>24</v>
      </c>
      <c r="E106" t="s">
        <v>83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20</v>
      </c>
      <c r="M106" t="s">
        <v>38</v>
      </c>
      <c r="N106">
        <f t="shared" si="2"/>
        <v>6.8108806480899509E-2</v>
      </c>
      <c r="O106">
        <f t="shared" si="3"/>
        <v>0.18531784517185629</v>
      </c>
      <c r="P106">
        <v>36103</v>
      </c>
    </row>
    <row r="107" spans="1:16" x14ac:dyDescent="0.3">
      <c r="A107" t="s">
        <v>154</v>
      </c>
      <c r="B107" t="s">
        <v>17</v>
      </c>
      <c r="C107" s="1">
        <v>45545</v>
      </c>
      <c r="D107" t="s">
        <v>47</v>
      </c>
      <c r="E107" t="s">
        <v>93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20</v>
      </c>
      <c r="N107">
        <f t="shared" si="2"/>
        <v>0.10339256865912763</v>
      </c>
      <c r="O107">
        <f t="shared" si="3"/>
        <v>0.13739368723551609</v>
      </c>
      <c r="P107">
        <v>26103</v>
      </c>
    </row>
    <row r="108" spans="1:16" x14ac:dyDescent="0.3">
      <c r="A108" t="s">
        <v>155</v>
      </c>
      <c r="B108" t="s">
        <v>34</v>
      </c>
      <c r="C108" s="1">
        <v>45517</v>
      </c>
      <c r="D108" t="s">
        <v>47</v>
      </c>
      <c r="E108" t="s">
        <v>139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26</v>
      </c>
      <c r="M108" t="s">
        <v>27</v>
      </c>
      <c r="N108">
        <f t="shared" si="2"/>
        <v>8.7668609086629767E-2</v>
      </c>
      <c r="O108">
        <f t="shared" si="3"/>
        <v>0.18531784517185629</v>
      </c>
      <c r="P108">
        <v>3455</v>
      </c>
    </row>
    <row r="109" spans="1:16" x14ac:dyDescent="0.3">
      <c r="A109" t="s">
        <v>155</v>
      </c>
      <c r="B109" t="s">
        <v>34</v>
      </c>
      <c r="C109" s="1">
        <v>45517</v>
      </c>
      <c r="D109" t="s">
        <v>47</v>
      </c>
      <c r="E109" t="s">
        <v>139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22</v>
      </c>
      <c r="M109" t="s">
        <v>27</v>
      </c>
      <c r="N109">
        <f t="shared" si="2"/>
        <v>8.7668609086629767E-2</v>
      </c>
      <c r="O109">
        <f t="shared" si="3"/>
        <v>0.18531784517185629</v>
      </c>
      <c r="P109">
        <v>40888</v>
      </c>
    </row>
    <row r="110" spans="1:16" x14ac:dyDescent="0.3">
      <c r="A110" t="s">
        <v>156</v>
      </c>
      <c r="B110" t="s">
        <v>17</v>
      </c>
      <c r="C110" s="1">
        <v>45453</v>
      </c>
      <c r="D110" t="s">
        <v>35</v>
      </c>
      <c r="E110" t="s">
        <v>103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20</v>
      </c>
      <c r="M110" t="s">
        <v>38</v>
      </c>
      <c r="N110">
        <f t="shared" si="2"/>
        <v>0.11238095238095239</v>
      </c>
      <c r="O110">
        <f t="shared" si="3"/>
        <v>0.13739368723551609</v>
      </c>
      <c r="P110">
        <v>22724</v>
      </c>
    </row>
    <row r="111" spans="1:16" x14ac:dyDescent="0.3">
      <c r="A111" t="s">
        <v>157</v>
      </c>
      <c r="B111" t="s">
        <v>30</v>
      </c>
      <c r="C111" s="1">
        <v>45475</v>
      </c>
      <c r="D111" t="s">
        <v>42</v>
      </c>
      <c r="E111" t="s">
        <v>57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20</v>
      </c>
      <c r="M111" t="s">
        <v>32</v>
      </c>
      <c r="N111">
        <f t="shared" si="2"/>
        <v>7.2000119875329657E-2</v>
      </c>
      <c r="O111">
        <f t="shared" si="3"/>
        <v>0.13298735096853673</v>
      </c>
      <c r="P111">
        <v>18601</v>
      </c>
    </row>
    <row r="112" spans="1:16" x14ac:dyDescent="0.3">
      <c r="A112" t="s">
        <v>158</v>
      </c>
      <c r="B112" t="s">
        <v>30</v>
      </c>
      <c r="C112" s="1">
        <v>45698</v>
      </c>
      <c r="D112" t="s">
        <v>61</v>
      </c>
      <c r="E112" t="s">
        <v>141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37</v>
      </c>
      <c r="N112">
        <f t="shared" si="2"/>
        <v>9.2298980747451867E-2</v>
      </c>
      <c r="O112">
        <f t="shared" si="3"/>
        <v>0.13298735096853673</v>
      </c>
      <c r="P112">
        <v>20861</v>
      </c>
    </row>
    <row r="113" spans="1:16" x14ac:dyDescent="0.3">
      <c r="A113" t="s">
        <v>159</v>
      </c>
      <c r="B113" t="s">
        <v>30</v>
      </c>
      <c r="C113" s="1">
        <v>45583</v>
      </c>
      <c r="D113" t="s">
        <v>61</v>
      </c>
      <c r="E113" t="s">
        <v>141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20</v>
      </c>
      <c r="M113" t="s">
        <v>32</v>
      </c>
      <c r="N113">
        <f t="shared" si="2"/>
        <v>7.3707865168539333E-2</v>
      </c>
      <c r="O113">
        <f t="shared" si="3"/>
        <v>0.13298735096853673</v>
      </c>
      <c r="P113">
        <v>46625</v>
      </c>
    </row>
    <row r="114" spans="1:16" x14ac:dyDescent="0.3">
      <c r="A114" t="s">
        <v>160</v>
      </c>
      <c r="B114" t="s">
        <v>17</v>
      </c>
      <c r="C114" s="1">
        <v>45553</v>
      </c>
      <c r="D114" t="s">
        <v>18</v>
      </c>
      <c r="E114" t="s">
        <v>19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37</v>
      </c>
      <c r="M114" t="s">
        <v>27</v>
      </c>
      <c r="N114">
        <f t="shared" si="2"/>
        <v>0.35666666666666669</v>
      </c>
      <c r="O114">
        <f t="shared" si="3"/>
        <v>0.13739368723551609</v>
      </c>
      <c r="P114">
        <v>20692</v>
      </c>
    </row>
    <row r="115" spans="1:16" x14ac:dyDescent="0.3">
      <c r="A115" t="s">
        <v>161</v>
      </c>
      <c r="B115" t="s">
        <v>41</v>
      </c>
      <c r="C115" s="1">
        <v>45454</v>
      </c>
      <c r="D115" t="s">
        <v>47</v>
      </c>
      <c r="E115" t="s">
        <v>52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37</v>
      </c>
      <c r="M115" t="s">
        <v>27</v>
      </c>
      <c r="N115">
        <f t="shared" si="2"/>
        <v>9.9632815002833983E-2</v>
      </c>
      <c r="O115">
        <f t="shared" si="3"/>
        <v>0.12094203382654924</v>
      </c>
      <c r="P115">
        <v>18656</v>
      </c>
    </row>
    <row r="116" spans="1:16" x14ac:dyDescent="0.3">
      <c r="A116" t="s">
        <v>162</v>
      </c>
      <c r="B116" t="s">
        <v>30</v>
      </c>
      <c r="C116" s="1">
        <v>45739</v>
      </c>
      <c r="D116" t="s">
        <v>35</v>
      </c>
      <c r="E116" t="s">
        <v>106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26</v>
      </c>
      <c r="M116" t="s">
        <v>32</v>
      </c>
      <c r="N116">
        <f t="shared" si="2"/>
        <v>0.13707250341997265</v>
      </c>
      <c r="O116">
        <f t="shared" si="3"/>
        <v>0.13298735096853673</v>
      </c>
      <c r="P116">
        <v>13316</v>
      </c>
    </row>
    <row r="117" spans="1:16" x14ac:dyDescent="0.3">
      <c r="A117" t="s">
        <v>163</v>
      </c>
      <c r="B117" t="s">
        <v>34</v>
      </c>
      <c r="C117" s="1">
        <v>45457</v>
      </c>
      <c r="D117" t="s">
        <v>42</v>
      </c>
      <c r="E117" t="s">
        <v>70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20</v>
      </c>
      <c r="M117" t="s">
        <v>21</v>
      </c>
      <c r="N117">
        <f t="shared" si="2"/>
        <v>0.12896028558679162</v>
      </c>
      <c r="O117">
        <f t="shared" si="3"/>
        <v>0.18531784517185629</v>
      </c>
      <c r="P117">
        <v>49558</v>
      </c>
    </row>
    <row r="118" spans="1:16" x14ac:dyDescent="0.3">
      <c r="A118" t="s">
        <v>164</v>
      </c>
      <c r="B118" t="s">
        <v>34</v>
      </c>
      <c r="C118" s="1">
        <v>45692</v>
      </c>
      <c r="D118" t="s">
        <v>47</v>
      </c>
      <c r="E118" t="s">
        <v>139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26</v>
      </c>
      <c r="M118" t="s">
        <v>38</v>
      </c>
      <c r="N118">
        <f t="shared" si="2"/>
        <v>8.5718409468138843E-2</v>
      </c>
      <c r="O118">
        <f t="shared" si="3"/>
        <v>0.18531784517185629</v>
      </c>
      <c r="P118">
        <v>4683</v>
      </c>
    </row>
    <row r="119" spans="1:16" x14ac:dyDescent="0.3">
      <c r="A119" t="s">
        <v>165</v>
      </c>
      <c r="B119" t="s">
        <v>30</v>
      </c>
      <c r="C119" s="1">
        <v>45464</v>
      </c>
      <c r="D119" t="s">
        <v>47</v>
      </c>
      <c r="E119" t="s">
        <v>48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26</v>
      </c>
      <c r="N119">
        <f t="shared" si="2"/>
        <v>6.2467323109097243E-2</v>
      </c>
      <c r="O119">
        <f t="shared" si="3"/>
        <v>0.13298735096853673</v>
      </c>
      <c r="P119">
        <v>47502</v>
      </c>
    </row>
    <row r="120" spans="1:16" x14ac:dyDescent="0.3">
      <c r="A120" t="s">
        <v>166</v>
      </c>
      <c r="B120" t="s">
        <v>17</v>
      </c>
      <c r="C120" s="1">
        <v>45741</v>
      </c>
      <c r="D120" t="s">
        <v>61</v>
      </c>
      <c r="E120" t="s">
        <v>100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26</v>
      </c>
      <c r="M120" t="s">
        <v>27</v>
      </c>
      <c r="N120">
        <f t="shared" si="2"/>
        <v>0.10005698005698006</v>
      </c>
      <c r="O120">
        <f t="shared" si="3"/>
        <v>0.13739368723551609</v>
      </c>
      <c r="P120">
        <v>35359</v>
      </c>
    </row>
    <row r="121" spans="1:16" x14ac:dyDescent="0.3">
      <c r="A121" t="s">
        <v>167</v>
      </c>
      <c r="B121" t="s">
        <v>17</v>
      </c>
      <c r="C121" s="1">
        <v>45512</v>
      </c>
      <c r="D121" t="s">
        <v>35</v>
      </c>
      <c r="E121" t="s">
        <v>103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20</v>
      </c>
      <c r="M121" t="s">
        <v>32</v>
      </c>
      <c r="N121">
        <f t="shared" si="2"/>
        <v>0.16744313510550835</v>
      </c>
      <c r="O121">
        <f t="shared" si="3"/>
        <v>0.13739368723551609</v>
      </c>
      <c r="P121">
        <v>14154</v>
      </c>
    </row>
    <row r="122" spans="1:16" x14ac:dyDescent="0.3">
      <c r="A122" t="s">
        <v>168</v>
      </c>
      <c r="B122" t="s">
        <v>34</v>
      </c>
      <c r="C122" s="1">
        <v>45502</v>
      </c>
      <c r="D122" t="s">
        <v>18</v>
      </c>
      <c r="E122" t="s">
        <v>66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37</v>
      </c>
      <c r="M122" t="s">
        <v>27</v>
      </c>
      <c r="N122">
        <f t="shared" si="2"/>
        <v>0.12277759141227776</v>
      </c>
      <c r="O122">
        <f t="shared" si="3"/>
        <v>0.18531784517185629</v>
      </c>
      <c r="P122">
        <v>4313</v>
      </c>
    </row>
    <row r="123" spans="1:16" x14ac:dyDescent="0.3">
      <c r="A123" t="s">
        <v>169</v>
      </c>
      <c r="B123" t="s">
        <v>30</v>
      </c>
      <c r="C123" s="1">
        <v>45619</v>
      </c>
      <c r="D123" t="s">
        <v>47</v>
      </c>
      <c r="E123" t="s">
        <v>48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26</v>
      </c>
      <c r="M123" t="s">
        <v>27</v>
      </c>
      <c r="N123">
        <f t="shared" si="2"/>
        <v>7.4071349760941527E-2</v>
      </c>
      <c r="O123">
        <f t="shared" si="3"/>
        <v>0.13298735096853673</v>
      </c>
      <c r="P123">
        <v>25140</v>
      </c>
    </row>
    <row r="124" spans="1:16" x14ac:dyDescent="0.3">
      <c r="A124" t="s">
        <v>170</v>
      </c>
      <c r="B124" t="s">
        <v>17</v>
      </c>
      <c r="C124" s="1">
        <v>45570</v>
      </c>
      <c r="D124" t="s">
        <v>35</v>
      </c>
      <c r="E124" t="s">
        <v>103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20</v>
      </c>
      <c r="M124" t="s">
        <v>32</v>
      </c>
      <c r="N124">
        <f t="shared" si="2"/>
        <v>0.17441662408448305</v>
      </c>
      <c r="O124">
        <f t="shared" si="3"/>
        <v>0.13739368723551609</v>
      </c>
      <c r="P124">
        <v>9118</v>
      </c>
    </row>
    <row r="125" spans="1:16" x14ac:dyDescent="0.3">
      <c r="A125" t="s">
        <v>171</v>
      </c>
      <c r="B125" t="s">
        <v>17</v>
      </c>
      <c r="C125" s="1">
        <v>45567</v>
      </c>
      <c r="D125" t="s">
        <v>42</v>
      </c>
      <c r="E125" t="s">
        <v>45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37</v>
      </c>
      <c r="M125" t="s">
        <v>21</v>
      </c>
      <c r="N125">
        <f t="shared" si="2"/>
        <v>0.11369088028965829</v>
      </c>
      <c r="O125">
        <f t="shared" si="3"/>
        <v>0.13739368723551609</v>
      </c>
      <c r="P125">
        <v>39931</v>
      </c>
    </row>
    <row r="126" spans="1:16" x14ac:dyDescent="0.3">
      <c r="A126" t="s">
        <v>172</v>
      </c>
      <c r="B126" t="s">
        <v>17</v>
      </c>
      <c r="C126" s="1">
        <v>45610</v>
      </c>
      <c r="D126" t="s">
        <v>35</v>
      </c>
      <c r="E126" t="s">
        <v>103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20</v>
      </c>
      <c r="M126" t="s">
        <v>21</v>
      </c>
      <c r="N126">
        <f t="shared" si="2"/>
        <v>0.12942500000000001</v>
      </c>
      <c r="O126">
        <f t="shared" si="3"/>
        <v>0.13739368723551609</v>
      </c>
      <c r="P126">
        <v>37132</v>
      </c>
    </row>
    <row r="127" spans="1:16" x14ac:dyDescent="0.3">
      <c r="A127" t="s">
        <v>173</v>
      </c>
      <c r="B127" t="s">
        <v>17</v>
      </c>
      <c r="C127" s="1">
        <v>45788</v>
      </c>
      <c r="D127" t="s">
        <v>47</v>
      </c>
      <c r="E127" t="s">
        <v>93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26</v>
      </c>
      <c r="M127" t="s">
        <v>38</v>
      </c>
      <c r="N127">
        <f t="shared" si="2"/>
        <v>6.2150491965739366E-2</v>
      </c>
      <c r="O127">
        <f t="shared" si="3"/>
        <v>0.13739368723551609</v>
      </c>
      <c r="P127">
        <v>17951</v>
      </c>
    </row>
    <row r="128" spans="1:16" x14ac:dyDescent="0.3">
      <c r="A128" t="s">
        <v>173</v>
      </c>
      <c r="B128" t="s">
        <v>17</v>
      </c>
      <c r="C128" s="1">
        <v>45788</v>
      </c>
      <c r="D128" t="s">
        <v>47</v>
      </c>
      <c r="E128" t="s">
        <v>93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22</v>
      </c>
      <c r="M128" t="s">
        <v>38</v>
      </c>
      <c r="N128">
        <f t="shared" si="2"/>
        <v>6.2150491965739366E-2</v>
      </c>
      <c r="O128">
        <f t="shared" si="3"/>
        <v>0.13739368723551609</v>
      </c>
      <c r="P128">
        <v>2798</v>
      </c>
    </row>
    <row r="129" spans="1:16" x14ac:dyDescent="0.3">
      <c r="A129" t="s">
        <v>174</v>
      </c>
      <c r="B129" t="s">
        <v>30</v>
      </c>
      <c r="C129" s="1">
        <v>45734</v>
      </c>
      <c r="D129" t="s">
        <v>18</v>
      </c>
      <c r="E129" t="s">
        <v>31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26</v>
      </c>
      <c r="N129">
        <f t="shared" si="2"/>
        <v>0.16769515581610614</v>
      </c>
      <c r="O129">
        <f t="shared" si="3"/>
        <v>0.13298735096853673</v>
      </c>
      <c r="P129">
        <v>15045</v>
      </c>
    </row>
    <row r="130" spans="1:16" x14ac:dyDescent="0.3">
      <c r="A130" t="s">
        <v>175</v>
      </c>
      <c r="B130" t="s">
        <v>17</v>
      </c>
      <c r="C130" s="1">
        <v>45600</v>
      </c>
      <c r="D130" t="s">
        <v>47</v>
      </c>
      <c r="E130" t="s">
        <v>93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37</v>
      </c>
      <c r="M130" t="s">
        <v>38</v>
      </c>
      <c r="N130">
        <f t="shared" ref="N130:N193" si="4">(F130+G130+H130)/I130</f>
        <v>0.11792317271769326</v>
      </c>
      <c r="O130">
        <f t="shared" ref="O130:O193" si="5">AVERAGEIF(B:B,B130,N:N)</f>
        <v>0.13739368723551609</v>
      </c>
      <c r="P130">
        <v>14548</v>
      </c>
    </row>
    <row r="131" spans="1:16" x14ac:dyDescent="0.3">
      <c r="A131" t="s">
        <v>176</v>
      </c>
      <c r="B131" t="s">
        <v>41</v>
      </c>
      <c r="C131" s="1">
        <v>45600</v>
      </c>
      <c r="D131" t="s">
        <v>47</v>
      </c>
      <c r="E131" t="s">
        <v>52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20</v>
      </c>
      <c r="M131" t="s">
        <v>32</v>
      </c>
      <c r="N131">
        <f t="shared" si="4"/>
        <v>8.0158206987475278E-2</v>
      </c>
      <c r="O131">
        <f t="shared" si="5"/>
        <v>0.12094203382654924</v>
      </c>
      <c r="P131">
        <v>45708</v>
      </c>
    </row>
    <row r="132" spans="1:16" x14ac:dyDescent="0.3">
      <c r="A132" t="s">
        <v>177</v>
      </c>
      <c r="B132" t="s">
        <v>34</v>
      </c>
      <c r="C132" s="1">
        <v>45695</v>
      </c>
      <c r="D132" t="s">
        <v>18</v>
      </c>
      <c r="E132" t="s">
        <v>66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20</v>
      </c>
      <c r="N132">
        <f t="shared" si="4"/>
        <v>0.31705583756345179</v>
      </c>
      <c r="O132">
        <f t="shared" si="5"/>
        <v>0.18531784517185629</v>
      </c>
      <c r="P132">
        <v>12350</v>
      </c>
    </row>
    <row r="133" spans="1:16" x14ac:dyDescent="0.3">
      <c r="A133" t="s">
        <v>178</v>
      </c>
      <c r="B133" t="s">
        <v>41</v>
      </c>
      <c r="C133" s="1">
        <v>45586</v>
      </c>
      <c r="D133" t="s">
        <v>35</v>
      </c>
      <c r="E133" t="s">
        <v>59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37</v>
      </c>
      <c r="M133" t="s">
        <v>32</v>
      </c>
      <c r="N133">
        <f t="shared" si="4"/>
        <v>0.23414918414918415</v>
      </c>
      <c r="O133">
        <f t="shared" si="5"/>
        <v>0.12094203382654924</v>
      </c>
      <c r="P133">
        <v>40868</v>
      </c>
    </row>
    <row r="134" spans="1:16" x14ac:dyDescent="0.3">
      <c r="A134" t="s">
        <v>179</v>
      </c>
      <c r="B134" t="s">
        <v>34</v>
      </c>
      <c r="C134" s="1">
        <v>45502</v>
      </c>
      <c r="D134" t="s">
        <v>35</v>
      </c>
      <c r="E134" t="s">
        <v>36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20</v>
      </c>
      <c r="N134">
        <f t="shared" si="4"/>
        <v>0.32349397590361445</v>
      </c>
      <c r="O134">
        <f t="shared" si="5"/>
        <v>0.18531784517185629</v>
      </c>
      <c r="P134">
        <v>43122</v>
      </c>
    </row>
    <row r="135" spans="1:16" x14ac:dyDescent="0.3">
      <c r="A135" t="s">
        <v>180</v>
      </c>
      <c r="B135" t="s">
        <v>34</v>
      </c>
      <c r="C135" s="1">
        <v>45567</v>
      </c>
      <c r="D135" t="s">
        <v>24</v>
      </c>
      <c r="E135" t="s">
        <v>83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37</v>
      </c>
      <c r="M135" t="s">
        <v>27</v>
      </c>
      <c r="N135">
        <f t="shared" si="4"/>
        <v>8.0565268065268064E-2</v>
      </c>
      <c r="O135">
        <f t="shared" si="5"/>
        <v>0.18531784517185629</v>
      </c>
      <c r="P135">
        <v>23853</v>
      </c>
    </row>
    <row r="136" spans="1:16" x14ac:dyDescent="0.3">
      <c r="A136" t="s">
        <v>181</v>
      </c>
      <c r="B136" t="s">
        <v>34</v>
      </c>
      <c r="C136" s="1">
        <v>45457</v>
      </c>
      <c r="D136" t="s">
        <v>35</v>
      </c>
      <c r="E136" t="s">
        <v>36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37</v>
      </c>
      <c r="M136" t="s">
        <v>21</v>
      </c>
      <c r="N136">
        <f t="shared" si="4"/>
        <v>0.23616777446710979</v>
      </c>
      <c r="O136">
        <f t="shared" si="5"/>
        <v>0.18531784517185629</v>
      </c>
      <c r="P136">
        <v>45380</v>
      </c>
    </row>
    <row r="137" spans="1:16" x14ac:dyDescent="0.3">
      <c r="A137" t="s">
        <v>182</v>
      </c>
      <c r="B137" t="s">
        <v>30</v>
      </c>
      <c r="C137" s="1">
        <v>45753</v>
      </c>
      <c r="D137" t="s">
        <v>42</v>
      </c>
      <c r="E137" t="s">
        <v>57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37</v>
      </c>
      <c r="M137" t="s">
        <v>21</v>
      </c>
      <c r="N137">
        <f t="shared" si="4"/>
        <v>0.33618012422360249</v>
      </c>
      <c r="O137">
        <f t="shared" si="5"/>
        <v>0.13298735096853673</v>
      </c>
      <c r="P137">
        <v>7705</v>
      </c>
    </row>
    <row r="138" spans="1:16" x14ac:dyDescent="0.3">
      <c r="A138" t="s">
        <v>183</v>
      </c>
      <c r="B138" t="s">
        <v>17</v>
      </c>
      <c r="C138" s="1">
        <v>45543</v>
      </c>
      <c r="D138" t="s">
        <v>42</v>
      </c>
      <c r="E138" t="s">
        <v>45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26</v>
      </c>
      <c r="M138" t="s">
        <v>38</v>
      </c>
      <c r="N138">
        <f t="shared" si="4"/>
        <v>0.14265722032712325</v>
      </c>
      <c r="O138">
        <f t="shared" si="5"/>
        <v>0.13739368723551609</v>
      </c>
      <c r="P138">
        <v>25525</v>
      </c>
    </row>
    <row r="139" spans="1:16" x14ac:dyDescent="0.3">
      <c r="A139" t="s">
        <v>184</v>
      </c>
      <c r="B139" t="s">
        <v>34</v>
      </c>
      <c r="C139" s="1">
        <v>45744</v>
      </c>
      <c r="D139" t="s">
        <v>42</v>
      </c>
      <c r="E139" t="s">
        <v>70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20</v>
      </c>
      <c r="N139">
        <f t="shared" si="4"/>
        <v>9.9829463465827106E-2</v>
      </c>
      <c r="O139">
        <f t="shared" si="5"/>
        <v>0.18531784517185629</v>
      </c>
      <c r="P139">
        <v>20560</v>
      </c>
    </row>
    <row r="140" spans="1:16" x14ac:dyDescent="0.3">
      <c r="A140" t="s">
        <v>185</v>
      </c>
      <c r="B140" t="s">
        <v>41</v>
      </c>
      <c r="C140" s="1">
        <v>45684</v>
      </c>
      <c r="D140" t="s">
        <v>18</v>
      </c>
      <c r="E140" t="s">
        <v>55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20</v>
      </c>
      <c r="M140" t="s">
        <v>32</v>
      </c>
      <c r="N140">
        <f t="shared" si="4"/>
        <v>6.9311459413307311E-2</v>
      </c>
      <c r="O140">
        <f t="shared" si="5"/>
        <v>0.12094203382654924</v>
      </c>
      <c r="P140">
        <v>19119</v>
      </c>
    </row>
    <row r="141" spans="1:16" x14ac:dyDescent="0.3">
      <c r="A141" t="s">
        <v>186</v>
      </c>
      <c r="B141" t="s">
        <v>17</v>
      </c>
      <c r="C141" s="1">
        <v>45667</v>
      </c>
      <c r="D141" t="s">
        <v>47</v>
      </c>
      <c r="E141" t="s">
        <v>93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20</v>
      </c>
      <c r="N141">
        <f t="shared" si="4"/>
        <v>0.12537731780940059</v>
      </c>
      <c r="O141">
        <f t="shared" si="5"/>
        <v>0.13739368723551609</v>
      </c>
      <c r="P141">
        <v>43999</v>
      </c>
    </row>
    <row r="142" spans="1:16" x14ac:dyDescent="0.3">
      <c r="A142" t="s">
        <v>187</v>
      </c>
      <c r="B142" t="s">
        <v>17</v>
      </c>
      <c r="C142" s="1">
        <v>45494</v>
      </c>
      <c r="D142" t="s">
        <v>24</v>
      </c>
      <c r="E142" t="s">
        <v>25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26</v>
      </c>
      <c r="N142">
        <f t="shared" si="4"/>
        <v>0.17291569632044715</v>
      </c>
      <c r="O142">
        <f t="shared" si="5"/>
        <v>0.13739368723551609</v>
      </c>
      <c r="P142">
        <v>10825</v>
      </c>
    </row>
    <row r="143" spans="1:16" x14ac:dyDescent="0.3">
      <c r="A143" t="s">
        <v>188</v>
      </c>
      <c r="B143" t="s">
        <v>30</v>
      </c>
      <c r="C143" s="1">
        <v>45564</v>
      </c>
      <c r="D143" t="s">
        <v>18</v>
      </c>
      <c r="E143" t="s">
        <v>31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37</v>
      </c>
      <c r="M143" t="s">
        <v>38</v>
      </c>
      <c r="N143">
        <f t="shared" si="4"/>
        <v>8.9577656675749323E-2</v>
      </c>
      <c r="O143">
        <f t="shared" si="5"/>
        <v>0.13298735096853673</v>
      </c>
      <c r="P143">
        <v>40323</v>
      </c>
    </row>
    <row r="144" spans="1:16" x14ac:dyDescent="0.3">
      <c r="A144" t="s">
        <v>189</v>
      </c>
      <c r="B144" t="s">
        <v>34</v>
      </c>
      <c r="C144" s="1">
        <v>45586</v>
      </c>
      <c r="D144" t="s">
        <v>18</v>
      </c>
      <c r="E144" t="s">
        <v>66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20</v>
      </c>
      <c r="M144" t="s">
        <v>32</v>
      </c>
      <c r="N144">
        <f t="shared" si="4"/>
        <v>0.13106060606060607</v>
      </c>
      <c r="O144">
        <f t="shared" si="5"/>
        <v>0.18531784517185629</v>
      </c>
      <c r="P144">
        <v>48270</v>
      </c>
    </row>
    <row r="145" spans="1:16" x14ac:dyDescent="0.3">
      <c r="A145" t="s">
        <v>190</v>
      </c>
      <c r="B145" t="s">
        <v>34</v>
      </c>
      <c r="C145" s="1">
        <v>45720</v>
      </c>
      <c r="D145" t="s">
        <v>35</v>
      </c>
      <c r="E145" t="s">
        <v>36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20</v>
      </c>
      <c r="M145" t="s">
        <v>27</v>
      </c>
      <c r="N145">
        <f t="shared" si="4"/>
        <v>0.13493953401503478</v>
      </c>
      <c r="O145">
        <f t="shared" si="5"/>
        <v>0.18531784517185629</v>
      </c>
      <c r="P145">
        <v>18001</v>
      </c>
    </row>
    <row r="146" spans="1:16" x14ac:dyDescent="0.3">
      <c r="A146" t="s">
        <v>191</v>
      </c>
      <c r="B146" t="s">
        <v>41</v>
      </c>
      <c r="C146" s="1">
        <v>45694</v>
      </c>
      <c r="D146" t="s">
        <v>47</v>
      </c>
      <c r="E146" t="s">
        <v>52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26</v>
      </c>
      <c r="M146" t="s">
        <v>38</v>
      </c>
      <c r="N146">
        <f t="shared" si="4"/>
        <v>7.172350922350923E-2</v>
      </c>
      <c r="O146">
        <f t="shared" si="5"/>
        <v>0.12094203382654924</v>
      </c>
      <c r="P146">
        <v>3314</v>
      </c>
    </row>
    <row r="147" spans="1:16" x14ac:dyDescent="0.3">
      <c r="A147" t="s">
        <v>192</v>
      </c>
      <c r="B147" t="s">
        <v>17</v>
      </c>
      <c r="C147" s="1">
        <v>45771</v>
      </c>
      <c r="D147" t="s">
        <v>18</v>
      </c>
      <c r="E147" t="s">
        <v>19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26</v>
      </c>
      <c r="M147" t="s">
        <v>21</v>
      </c>
      <c r="N147">
        <f t="shared" si="4"/>
        <v>7.1133744304476013E-2</v>
      </c>
      <c r="O147">
        <f t="shared" si="5"/>
        <v>0.13739368723551609</v>
      </c>
      <c r="P147">
        <v>23489</v>
      </c>
    </row>
    <row r="148" spans="1:16" x14ac:dyDescent="0.3">
      <c r="A148" t="s">
        <v>193</v>
      </c>
      <c r="B148" t="s">
        <v>41</v>
      </c>
      <c r="C148" s="1">
        <v>45624</v>
      </c>
      <c r="D148" t="s">
        <v>24</v>
      </c>
      <c r="E148" t="s">
        <v>50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20</v>
      </c>
      <c r="M148" t="s">
        <v>38</v>
      </c>
      <c r="N148">
        <f t="shared" si="4"/>
        <v>6.461481657304112E-2</v>
      </c>
      <c r="O148">
        <f t="shared" si="5"/>
        <v>0.12094203382654924</v>
      </c>
      <c r="P148">
        <v>42832</v>
      </c>
    </row>
    <row r="149" spans="1:16" x14ac:dyDescent="0.3">
      <c r="A149" t="s">
        <v>194</v>
      </c>
      <c r="B149" t="s">
        <v>34</v>
      </c>
      <c r="C149" s="1">
        <v>45484</v>
      </c>
      <c r="D149" t="s">
        <v>24</v>
      </c>
      <c r="E149" t="s">
        <v>83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37</v>
      </c>
      <c r="M149" t="s">
        <v>38</v>
      </c>
      <c r="N149">
        <f t="shared" si="4"/>
        <v>0.20357370772176134</v>
      </c>
      <c r="O149">
        <f t="shared" si="5"/>
        <v>0.18531784517185629</v>
      </c>
      <c r="P149">
        <v>24494</v>
      </c>
    </row>
    <row r="150" spans="1:16" x14ac:dyDescent="0.3">
      <c r="A150" t="s">
        <v>195</v>
      </c>
      <c r="B150" t="s">
        <v>41</v>
      </c>
      <c r="C150" s="1">
        <v>45504</v>
      </c>
      <c r="D150" t="s">
        <v>61</v>
      </c>
      <c r="E150" t="s">
        <v>62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20</v>
      </c>
      <c r="N150">
        <f t="shared" si="4"/>
        <v>0.20871010638297871</v>
      </c>
      <c r="O150">
        <f t="shared" si="5"/>
        <v>0.12094203382654924</v>
      </c>
      <c r="P150">
        <v>44097</v>
      </c>
    </row>
    <row r="151" spans="1:16" x14ac:dyDescent="0.3">
      <c r="A151" t="s">
        <v>196</v>
      </c>
      <c r="B151" t="s">
        <v>17</v>
      </c>
      <c r="C151" s="1">
        <v>45745</v>
      </c>
      <c r="D151" t="s">
        <v>47</v>
      </c>
      <c r="E151" t="s">
        <v>93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20</v>
      </c>
      <c r="M151" t="s">
        <v>32</v>
      </c>
      <c r="N151">
        <f t="shared" si="4"/>
        <v>0.16065573770491803</v>
      </c>
      <c r="O151">
        <f t="shared" si="5"/>
        <v>0.13739368723551609</v>
      </c>
      <c r="P151">
        <v>31853</v>
      </c>
    </row>
    <row r="152" spans="1:16" x14ac:dyDescent="0.3">
      <c r="A152" t="s">
        <v>197</v>
      </c>
      <c r="B152" t="s">
        <v>30</v>
      </c>
      <c r="C152" s="1">
        <v>45594</v>
      </c>
      <c r="D152" t="s">
        <v>24</v>
      </c>
      <c r="E152" t="s">
        <v>78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37</v>
      </c>
      <c r="M152" t="s">
        <v>21</v>
      </c>
      <c r="N152">
        <f t="shared" si="4"/>
        <v>9.422796795338674E-2</v>
      </c>
      <c r="O152">
        <f t="shared" si="5"/>
        <v>0.13298735096853673</v>
      </c>
      <c r="P152">
        <v>37636</v>
      </c>
    </row>
    <row r="153" spans="1:16" x14ac:dyDescent="0.3">
      <c r="A153" t="s">
        <v>198</v>
      </c>
      <c r="B153" t="s">
        <v>41</v>
      </c>
      <c r="C153" s="1">
        <v>45488</v>
      </c>
      <c r="D153" t="s">
        <v>47</v>
      </c>
      <c r="E153" t="s">
        <v>52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37</v>
      </c>
      <c r="M153" t="s">
        <v>27</v>
      </c>
      <c r="N153">
        <f t="shared" si="4"/>
        <v>0.15571802706241816</v>
      </c>
      <c r="O153">
        <f t="shared" si="5"/>
        <v>0.12094203382654924</v>
      </c>
      <c r="P153">
        <v>22996</v>
      </c>
    </row>
    <row r="154" spans="1:16" x14ac:dyDescent="0.3">
      <c r="A154" t="s">
        <v>198</v>
      </c>
      <c r="B154" t="s">
        <v>41</v>
      </c>
      <c r="C154" s="1">
        <v>45488</v>
      </c>
      <c r="D154" t="s">
        <v>47</v>
      </c>
      <c r="E154" t="s">
        <v>52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199</v>
      </c>
      <c r="M154" t="s">
        <v>27</v>
      </c>
      <c r="N154">
        <f t="shared" si="4"/>
        <v>0.15571802706241816</v>
      </c>
      <c r="O154">
        <f t="shared" si="5"/>
        <v>0.12094203382654924</v>
      </c>
      <c r="P154">
        <v>49772</v>
      </c>
    </row>
    <row r="155" spans="1:16" x14ac:dyDescent="0.3">
      <c r="A155" t="s">
        <v>200</v>
      </c>
      <c r="B155" t="s">
        <v>17</v>
      </c>
      <c r="C155" s="1">
        <v>45535</v>
      </c>
      <c r="D155" t="s">
        <v>47</v>
      </c>
      <c r="E155" t="s">
        <v>93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20</v>
      </c>
      <c r="N155">
        <f t="shared" si="4"/>
        <v>0.2316508937960042</v>
      </c>
      <c r="O155">
        <f t="shared" si="5"/>
        <v>0.13739368723551609</v>
      </c>
      <c r="P155">
        <v>22713</v>
      </c>
    </row>
    <row r="156" spans="1:16" x14ac:dyDescent="0.3">
      <c r="A156" t="s">
        <v>201</v>
      </c>
      <c r="B156" t="s">
        <v>30</v>
      </c>
      <c r="C156" s="1">
        <v>45741</v>
      </c>
      <c r="D156" t="s">
        <v>35</v>
      </c>
      <c r="E156" t="s">
        <v>106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20</v>
      </c>
      <c r="M156" t="s">
        <v>38</v>
      </c>
      <c r="N156">
        <f t="shared" si="4"/>
        <v>6.9438087973557078E-2</v>
      </c>
      <c r="O156">
        <f t="shared" si="5"/>
        <v>0.13298735096853673</v>
      </c>
      <c r="P156">
        <v>8718</v>
      </c>
    </row>
    <row r="157" spans="1:16" x14ac:dyDescent="0.3">
      <c r="A157" t="s">
        <v>202</v>
      </c>
      <c r="B157" t="s">
        <v>30</v>
      </c>
      <c r="C157" s="1">
        <v>45567</v>
      </c>
      <c r="D157" t="s">
        <v>42</v>
      </c>
      <c r="E157" t="s">
        <v>57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26</v>
      </c>
      <c r="M157" t="s">
        <v>32</v>
      </c>
      <c r="N157">
        <f t="shared" si="4"/>
        <v>0.50192307692307692</v>
      </c>
      <c r="O157">
        <f t="shared" si="5"/>
        <v>0.13298735096853673</v>
      </c>
      <c r="P157">
        <v>39031</v>
      </c>
    </row>
    <row r="158" spans="1:16" x14ac:dyDescent="0.3">
      <c r="A158" t="s">
        <v>203</v>
      </c>
      <c r="B158" t="s">
        <v>30</v>
      </c>
      <c r="C158" s="1">
        <v>45593</v>
      </c>
      <c r="D158" t="s">
        <v>35</v>
      </c>
      <c r="E158" t="s">
        <v>106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37</v>
      </c>
      <c r="M158" t="s">
        <v>38</v>
      </c>
      <c r="N158">
        <f t="shared" si="4"/>
        <v>6.5455787978772245E-2</v>
      </c>
      <c r="O158">
        <f t="shared" si="5"/>
        <v>0.13298735096853673</v>
      </c>
      <c r="P158">
        <v>33799</v>
      </c>
    </row>
    <row r="159" spans="1:16" x14ac:dyDescent="0.3">
      <c r="A159" t="s">
        <v>204</v>
      </c>
      <c r="B159" t="s">
        <v>34</v>
      </c>
      <c r="C159" s="1">
        <v>45516</v>
      </c>
      <c r="D159" t="s">
        <v>42</v>
      </c>
      <c r="E159" t="s">
        <v>70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26</v>
      </c>
      <c r="M159" t="s">
        <v>38</v>
      </c>
      <c r="N159">
        <f t="shared" si="4"/>
        <v>5.6416400425985093E-2</v>
      </c>
      <c r="O159">
        <f t="shared" si="5"/>
        <v>0.18531784517185629</v>
      </c>
      <c r="P159">
        <v>20553</v>
      </c>
    </row>
    <row r="160" spans="1:16" x14ac:dyDescent="0.3">
      <c r="A160" t="s">
        <v>205</v>
      </c>
      <c r="B160" t="s">
        <v>30</v>
      </c>
      <c r="C160" s="1">
        <v>45448</v>
      </c>
      <c r="D160" t="s">
        <v>18</v>
      </c>
      <c r="E160" t="s">
        <v>31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37</v>
      </c>
      <c r="N160">
        <f t="shared" si="4"/>
        <v>0.21636759108210984</v>
      </c>
      <c r="O160">
        <f t="shared" si="5"/>
        <v>0.13298735096853673</v>
      </c>
      <c r="P160">
        <v>10002</v>
      </c>
    </row>
    <row r="161" spans="1:16" x14ac:dyDescent="0.3">
      <c r="A161" t="s">
        <v>205</v>
      </c>
      <c r="B161" t="s">
        <v>30</v>
      </c>
      <c r="C161" s="1">
        <v>45448</v>
      </c>
      <c r="D161" t="s">
        <v>18</v>
      </c>
      <c r="E161" t="s">
        <v>31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22</v>
      </c>
      <c r="N161">
        <f t="shared" si="4"/>
        <v>0.21636759108210984</v>
      </c>
      <c r="O161">
        <f t="shared" si="5"/>
        <v>0.13298735096853673</v>
      </c>
      <c r="P161">
        <v>30987</v>
      </c>
    </row>
    <row r="162" spans="1:16" x14ac:dyDescent="0.3">
      <c r="A162" t="s">
        <v>206</v>
      </c>
      <c r="B162" t="s">
        <v>34</v>
      </c>
      <c r="C162" s="1">
        <v>45586</v>
      </c>
      <c r="D162" t="s">
        <v>18</v>
      </c>
      <c r="E162" t="s">
        <v>66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26</v>
      </c>
      <c r="M162" t="s">
        <v>27</v>
      </c>
      <c r="N162">
        <f t="shared" si="4"/>
        <v>0.15283323095823095</v>
      </c>
      <c r="O162">
        <f t="shared" si="5"/>
        <v>0.18531784517185629</v>
      </c>
      <c r="P162">
        <v>6296</v>
      </c>
    </row>
    <row r="163" spans="1:16" x14ac:dyDescent="0.3">
      <c r="A163" t="s">
        <v>207</v>
      </c>
      <c r="B163" t="s">
        <v>34</v>
      </c>
      <c r="C163" s="1">
        <v>45762</v>
      </c>
      <c r="D163" t="s">
        <v>61</v>
      </c>
      <c r="E163" t="s">
        <v>68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37</v>
      </c>
      <c r="M163" t="s">
        <v>38</v>
      </c>
      <c r="N163">
        <f t="shared" si="4"/>
        <v>0.19864505202032423</v>
      </c>
      <c r="O163">
        <f t="shared" si="5"/>
        <v>0.18531784517185629</v>
      </c>
      <c r="P163">
        <v>21539</v>
      </c>
    </row>
    <row r="164" spans="1:16" x14ac:dyDescent="0.3">
      <c r="A164" t="s">
        <v>208</v>
      </c>
      <c r="B164" t="s">
        <v>17</v>
      </c>
      <c r="C164" s="1">
        <v>45459</v>
      </c>
      <c r="D164" t="s">
        <v>61</v>
      </c>
      <c r="E164" t="s">
        <v>100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37</v>
      </c>
      <c r="M164" t="s">
        <v>21</v>
      </c>
      <c r="N164">
        <f t="shared" si="4"/>
        <v>7.7291421856639245E-2</v>
      </c>
      <c r="O164">
        <f t="shared" si="5"/>
        <v>0.13739368723551609</v>
      </c>
      <c r="P164">
        <v>14722</v>
      </c>
    </row>
    <row r="165" spans="1:16" x14ac:dyDescent="0.3">
      <c r="A165" t="s">
        <v>209</v>
      </c>
      <c r="B165" t="s">
        <v>30</v>
      </c>
      <c r="C165" s="1">
        <v>45526</v>
      </c>
      <c r="D165" t="s">
        <v>42</v>
      </c>
      <c r="E165" t="s">
        <v>57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26</v>
      </c>
      <c r="M165" t="s">
        <v>38</v>
      </c>
      <c r="N165">
        <f t="shared" si="4"/>
        <v>6.3713620488940623E-2</v>
      </c>
      <c r="O165">
        <f t="shared" si="5"/>
        <v>0.13298735096853673</v>
      </c>
      <c r="P165">
        <v>11383</v>
      </c>
    </row>
    <row r="166" spans="1:16" x14ac:dyDescent="0.3">
      <c r="A166" t="s">
        <v>210</v>
      </c>
      <c r="B166" t="s">
        <v>34</v>
      </c>
      <c r="C166" s="1">
        <v>45499</v>
      </c>
      <c r="D166" t="s">
        <v>47</v>
      </c>
      <c r="E166" t="s">
        <v>139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37</v>
      </c>
      <c r="M166" t="s">
        <v>21</v>
      </c>
      <c r="N166">
        <f t="shared" si="4"/>
        <v>0.10977802753582468</v>
      </c>
      <c r="O166">
        <f t="shared" si="5"/>
        <v>0.18531784517185629</v>
      </c>
      <c r="P166">
        <v>9480</v>
      </c>
    </row>
    <row r="167" spans="1:16" x14ac:dyDescent="0.3">
      <c r="A167" t="s">
        <v>211</v>
      </c>
      <c r="B167" t="s">
        <v>41</v>
      </c>
      <c r="C167" s="1">
        <v>45769</v>
      </c>
      <c r="D167" t="s">
        <v>47</v>
      </c>
      <c r="E167" t="s">
        <v>52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37</v>
      </c>
      <c r="M167" t="s">
        <v>38</v>
      </c>
      <c r="N167">
        <f t="shared" si="4"/>
        <v>0.19511518179295032</v>
      </c>
      <c r="O167">
        <f t="shared" si="5"/>
        <v>0.12094203382654924</v>
      </c>
      <c r="P167">
        <v>29116</v>
      </c>
    </row>
    <row r="168" spans="1:16" x14ac:dyDescent="0.3">
      <c r="A168" t="s">
        <v>212</v>
      </c>
      <c r="B168" t="s">
        <v>17</v>
      </c>
      <c r="C168" s="1">
        <v>45658</v>
      </c>
      <c r="D168" t="s">
        <v>61</v>
      </c>
      <c r="E168" t="s">
        <v>100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26</v>
      </c>
      <c r="M168" t="s">
        <v>32</v>
      </c>
      <c r="N168">
        <f t="shared" si="4"/>
        <v>0.17801355732390214</v>
      </c>
      <c r="O168">
        <f t="shared" si="5"/>
        <v>0.13739368723551609</v>
      </c>
      <c r="P168">
        <v>14068</v>
      </c>
    </row>
    <row r="169" spans="1:16" x14ac:dyDescent="0.3">
      <c r="A169" t="s">
        <v>213</v>
      </c>
      <c r="B169" t="s">
        <v>34</v>
      </c>
      <c r="C169" s="1">
        <v>45574</v>
      </c>
      <c r="D169" t="s">
        <v>42</v>
      </c>
      <c r="E169" t="s">
        <v>70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20</v>
      </c>
      <c r="M169" t="s">
        <v>38</v>
      </c>
      <c r="N169">
        <f t="shared" si="4"/>
        <v>0.31965192168237855</v>
      </c>
      <c r="O169">
        <f t="shared" si="5"/>
        <v>0.18531784517185629</v>
      </c>
      <c r="P169">
        <v>35801</v>
      </c>
    </row>
    <row r="170" spans="1:16" x14ac:dyDescent="0.3">
      <c r="A170" t="s">
        <v>214</v>
      </c>
      <c r="B170" t="s">
        <v>30</v>
      </c>
      <c r="C170" s="1">
        <v>45647</v>
      </c>
      <c r="D170" t="s">
        <v>47</v>
      </c>
      <c r="E170" t="s">
        <v>48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20</v>
      </c>
      <c r="M170" t="s">
        <v>27</v>
      </c>
      <c r="N170">
        <f t="shared" si="4"/>
        <v>0.11489268506351293</v>
      </c>
      <c r="O170">
        <f t="shared" si="5"/>
        <v>0.13298735096853673</v>
      </c>
      <c r="P170">
        <v>49077</v>
      </c>
    </row>
    <row r="171" spans="1:16" x14ac:dyDescent="0.3">
      <c r="A171" t="s">
        <v>215</v>
      </c>
      <c r="B171" t="s">
        <v>41</v>
      </c>
      <c r="C171" s="1">
        <v>45587</v>
      </c>
      <c r="D171" t="s">
        <v>42</v>
      </c>
      <c r="E171" t="s">
        <v>43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20</v>
      </c>
      <c r="M171" t="s">
        <v>27</v>
      </c>
      <c r="N171">
        <f t="shared" si="4"/>
        <v>0.1095786671562328</v>
      </c>
      <c r="O171">
        <f t="shared" si="5"/>
        <v>0.12094203382654924</v>
      </c>
      <c r="P171">
        <v>21453</v>
      </c>
    </row>
    <row r="172" spans="1:16" x14ac:dyDescent="0.3">
      <c r="A172" t="s">
        <v>216</v>
      </c>
      <c r="B172" t="s">
        <v>30</v>
      </c>
      <c r="C172" s="1">
        <v>45496</v>
      </c>
      <c r="D172" t="s">
        <v>35</v>
      </c>
      <c r="E172" t="s">
        <v>106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20</v>
      </c>
      <c r="M172" t="s">
        <v>27</v>
      </c>
      <c r="N172">
        <f t="shared" si="4"/>
        <v>0.10793717277486911</v>
      </c>
      <c r="O172">
        <f t="shared" si="5"/>
        <v>0.13298735096853673</v>
      </c>
      <c r="P172">
        <v>21061</v>
      </c>
    </row>
    <row r="173" spans="1:16" x14ac:dyDescent="0.3">
      <c r="A173" t="s">
        <v>217</v>
      </c>
      <c r="B173" t="s">
        <v>34</v>
      </c>
      <c r="C173" s="1">
        <v>45515</v>
      </c>
      <c r="D173" t="s">
        <v>35</v>
      </c>
      <c r="E173" t="s">
        <v>36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26</v>
      </c>
      <c r="M173" t="s">
        <v>21</v>
      </c>
      <c r="N173">
        <f t="shared" si="4"/>
        <v>0.11307081114118571</v>
      </c>
      <c r="O173">
        <f t="shared" si="5"/>
        <v>0.18531784517185629</v>
      </c>
      <c r="P173">
        <v>20059</v>
      </c>
    </row>
    <row r="174" spans="1:16" x14ac:dyDescent="0.3">
      <c r="A174" t="s">
        <v>218</v>
      </c>
      <c r="B174" t="s">
        <v>41</v>
      </c>
      <c r="C174" s="1">
        <v>45621</v>
      </c>
      <c r="D174" t="s">
        <v>35</v>
      </c>
      <c r="E174" t="s">
        <v>59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20</v>
      </c>
      <c r="M174" t="s">
        <v>27</v>
      </c>
      <c r="N174">
        <f t="shared" si="4"/>
        <v>0.21745283018867925</v>
      </c>
      <c r="O174">
        <f t="shared" si="5"/>
        <v>0.12094203382654924</v>
      </c>
      <c r="P174">
        <v>23140</v>
      </c>
    </row>
    <row r="175" spans="1:16" x14ac:dyDescent="0.3">
      <c r="A175" t="s">
        <v>219</v>
      </c>
      <c r="B175" t="s">
        <v>17</v>
      </c>
      <c r="C175" s="1">
        <v>45528</v>
      </c>
      <c r="D175" t="s">
        <v>61</v>
      </c>
      <c r="E175" t="s">
        <v>100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26</v>
      </c>
      <c r="N175">
        <f t="shared" si="4"/>
        <v>9.1137810638734856E-2</v>
      </c>
      <c r="O175">
        <f t="shared" si="5"/>
        <v>0.13739368723551609</v>
      </c>
      <c r="P175">
        <v>23461</v>
      </c>
    </row>
    <row r="176" spans="1:16" x14ac:dyDescent="0.3">
      <c r="A176" t="s">
        <v>220</v>
      </c>
      <c r="B176" t="s">
        <v>17</v>
      </c>
      <c r="C176" s="1">
        <v>45707</v>
      </c>
      <c r="D176" t="s">
        <v>24</v>
      </c>
      <c r="E176" t="s">
        <v>25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26</v>
      </c>
      <c r="M176" t="s">
        <v>38</v>
      </c>
      <c r="N176">
        <f t="shared" si="4"/>
        <v>0.11508145034156594</v>
      </c>
      <c r="O176">
        <f t="shared" si="5"/>
        <v>0.13739368723551609</v>
      </c>
      <c r="P176">
        <v>11805</v>
      </c>
    </row>
    <row r="177" spans="1:16" x14ac:dyDescent="0.3">
      <c r="A177" t="s">
        <v>221</v>
      </c>
      <c r="B177" t="s">
        <v>41</v>
      </c>
      <c r="C177" s="1">
        <v>45748</v>
      </c>
      <c r="D177" t="s">
        <v>35</v>
      </c>
      <c r="E177" t="s">
        <v>59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20</v>
      </c>
      <c r="N177">
        <f t="shared" si="4"/>
        <v>8.6630570595585168E-2</v>
      </c>
      <c r="O177">
        <f t="shared" si="5"/>
        <v>0.12094203382654924</v>
      </c>
      <c r="P177">
        <v>15969</v>
      </c>
    </row>
    <row r="178" spans="1:16" x14ac:dyDescent="0.3">
      <c r="A178" t="s">
        <v>222</v>
      </c>
      <c r="B178" t="s">
        <v>34</v>
      </c>
      <c r="C178" s="1">
        <v>45755</v>
      </c>
      <c r="D178" t="s">
        <v>47</v>
      </c>
      <c r="E178" t="s">
        <v>139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26</v>
      </c>
      <c r="M178" t="s">
        <v>27</v>
      </c>
      <c r="N178">
        <f t="shared" si="4"/>
        <v>0.23101532992668297</v>
      </c>
      <c r="O178">
        <f t="shared" si="5"/>
        <v>0.18531784517185629</v>
      </c>
      <c r="P178">
        <v>2436</v>
      </c>
    </row>
    <row r="179" spans="1:16" x14ac:dyDescent="0.3">
      <c r="A179" t="s">
        <v>223</v>
      </c>
      <c r="B179" t="s">
        <v>30</v>
      </c>
      <c r="C179" s="1">
        <v>45715</v>
      </c>
      <c r="D179" t="s">
        <v>24</v>
      </c>
      <c r="E179" t="s">
        <v>78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26</v>
      </c>
      <c r="M179" t="s">
        <v>38</v>
      </c>
      <c r="N179">
        <f t="shared" si="4"/>
        <v>0.15355188488042157</v>
      </c>
      <c r="O179">
        <f t="shared" si="5"/>
        <v>0.13298735096853673</v>
      </c>
      <c r="P179">
        <v>47603</v>
      </c>
    </row>
    <row r="180" spans="1:16" x14ac:dyDescent="0.3">
      <c r="A180" t="s">
        <v>223</v>
      </c>
      <c r="B180" t="s">
        <v>30</v>
      </c>
      <c r="C180" s="1">
        <v>45715</v>
      </c>
      <c r="D180" t="s">
        <v>24</v>
      </c>
      <c r="E180" t="s">
        <v>78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22</v>
      </c>
      <c r="M180" t="s">
        <v>38</v>
      </c>
      <c r="N180">
        <f t="shared" si="4"/>
        <v>0.15355188488042157</v>
      </c>
      <c r="O180">
        <f t="shared" si="5"/>
        <v>0.13298735096853673</v>
      </c>
      <c r="P180">
        <v>42964</v>
      </c>
    </row>
    <row r="181" spans="1:16" x14ac:dyDescent="0.3">
      <c r="A181" t="s">
        <v>224</v>
      </c>
      <c r="B181" t="s">
        <v>17</v>
      </c>
      <c r="C181" s="1">
        <v>45637</v>
      </c>
      <c r="D181" t="s">
        <v>24</v>
      </c>
      <c r="E181" t="s">
        <v>25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26</v>
      </c>
      <c r="M181" t="s">
        <v>27</v>
      </c>
      <c r="N181">
        <f t="shared" si="4"/>
        <v>0.15405989502933004</v>
      </c>
      <c r="O181">
        <f t="shared" si="5"/>
        <v>0.13739368723551609</v>
      </c>
      <c r="P181">
        <v>39923</v>
      </c>
    </row>
    <row r="182" spans="1:16" x14ac:dyDescent="0.3">
      <c r="A182" t="s">
        <v>225</v>
      </c>
      <c r="B182" t="s">
        <v>17</v>
      </c>
      <c r="C182" s="1">
        <v>45704</v>
      </c>
      <c r="D182" t="s">
        <v>18</v>
      </c>
      <c r="E182" t="s">
        <v>19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20</v>
      </c>
      <c r="M182" t="s">
        <v>21</v>
      </c>
      <c r="N182">
        <f t="shared" si="4"/>
        <v>0.14320716458262928</v>
      </c>
      <c r="O182">
        <f t="shared" si="5"/>
        <v>0.13739368723551609</v>
      </c>
      <c r="P182">
        <v>2293</v>
      </c>
    </row>
    <row r="183" spans="1:16" x14ac:dyDescent="0.3">
      <c r="A183" t="s">
        <v>226</v>
      </c>
      <c r="B183" t="s">
        <v>34</v>
      </c>
      <c r="C183" s="1">
        <v>45624</v>
      </c>
      <c r="D183" t="s">
        <v>24</v>
      </c>
      <c r="E183" t="s">
        <v>83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20</v>
      </c>
      <c r="N183">
        <f t="shared" si="4"/>
        <v>9.859917557465242E-2</v>
      </c>
      <c r="O183">
        <f t="shared" si="5"/>
        <v>0.18531784517185629</v>
      </c>
      <c r="P183">
        <v>25920</v>
      </c>
    </row>
    <row r="184" spans="1:16" x14ac:dyDescent="0.3">
      <c r="A184" t="s">
        <v>227</v>
      </c>
      <c r="B184" t="s">
        <v>41</v>
      </c>
      <c r="C184" s="1">
        <v>45608</v>
      </c>
      <c r="D184" t="s">
        <v>24</v>
      </c>
      <c r="E184" t="s">
        <v>50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37</v>
      </c>
      <c r="M184" t="s">
        <v>21</v>
      </c>
      <c r="N184">
        <f t="shared" si="4"/>
        <v>7.412002573292896E-2</v>
      </c>
      <c r="O184">
        <f t="shared" si="5"/>
        <v>0.12094203382654924</v>
      </c>
      <c r="P184">
        <v>11035</v>
      </c>
    </row>
    <row r="185" spans="1:16" x14ac:dyDescent="0.3">
      <c r="A185" t="s">
        <v>228</v>
      </c>
      <c r="B185" t="s">
        <v>30</v>
      </c>
      <c r="C185" s="1">
        <v>45629</v>
      </c>
      <c r="D185" t="s">
        <v>61</v>
      </c>
      <c r="E185" t="s">
        <v>141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37</v>
      </c>
      <c r="M185" t="s">
        <v>21</v>
      </c>
      <c r="N185">
        <f t="shared" si="4"/>
        <v>0.12490884163239112</v>
      </c>
      <c r="O185">
        <f t="shared" si="5"/>
        <v>0.13298735096853673</v>
      </c>
      <c r="P185">
        <v>20733</v>
      </c>
    </row>
    <row r="186" spans="1:16" x14ac:dyDescent="0.3">
      <c r="A186" t="s">
        <v>229</v>
      </c>
      <c r="B186" t="s">
        <v>17</v>
      </c>
      <c r="C186" s="1">
        <v>45775</v>
      </c>
      <c r="D186" t="s">
        <v>24</v>
      </c>
      <c r="E186" t="s">
        <v>25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26</v>
      </c>
      <c r="M186" t="s">
        <v>32</v>
      </c>
      <c r="N186">
        <f t="shared" si="4"/>
        <v>6.8655003457763777E-2</v>
      </c>
      <c r="O186">
        <f t="shared" si="5"/>
        <v>0.13739368723551609</v>
      </c>
      <c r="P186">
        <v>18693</v>
      </c>
    </row>
    <row r="187" spans="1:16" x14ac:dyDescent="0.3">
      <c r="A187" t="s">
        <v>230</v>
      </c>
      <c r="B187" t="s">
        <v>30</v>
      </c>
      <c r="C187" s="1">
        <v>45657</v>
      </c>
      <c r="D187" t="s">
        <v>61</v>
      </c>
      <c r="E187" t="s">
        <v>141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20</v>
      </c>
      <c r="M187" t="s">
        <v>27</v>
      </c>
      <c r="N187">
        <f t="shared" si="4"/>
        <v>9.8068107400130972E-2</v>
      </c>
      <c r="O187">
        <f t="shared" si="5"/>
        <v>0.13298735096853673</v>
      </c>
      <c r="P187">
        <v>7875</v>
      </c>
    </row>
    <row r="188" spans="1:16" x14ac:dyDescent="0.3">
      <c r="A188" t="s">
        <v>231</v>
      </c>
      <c r="B188" t="s">
        <v>41</v>
      </c>
      <c r="C188" s="1">
        <v>45518</v>
      </c>
      <c r="D188" t="s">
        <v>42</v>
      </c>
      <c r="E188" t="s">
        <v>43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37</v>
      </c>
      <c r="M188" t="s">
        <v>32</v>
      </c>
      <c r="N188">
        <f t="shared" si="4"/>
        <v>7.2739802071170159E-2</v>
      </c>
      <c r="O188">
        <f t="shared" si="5"/>
        <v>0.12094203382654924</v>
      </c>
      <c r="P188">
        <v>8471</v>
      </c>
    </row>
    <row r="189" spans="1:16" x14ac:dyDescent="0.3">
      <c r="A189" t="s">
        <v>232</v>
      </c>
      <c r="B189" t="s">
        <v>17</v>
      </c>
      <c r="C189" s="1">
        <v>45631</v>
      </c>
      <c r="D189" t="s">
        <v>61</v>
      </c>
      <c r="E189" t="s">
        <v>100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20</v>
      </c>
      <c r="M189" t="s">
        <v>32</v>
      </c>
      <c r="N189">
        <f t="shared" si="4"/>
        <v>0.14348370927318296</v>
      </c>
      <c r="O189">
        <f t="shared" si="5"/>
        <v>0.13739368723551609</v>
      </c>
      <c r="P189">
        <v>14090</v>
      </c>
    </row>
    <row r="190" spans="1:16" x14ac:dyDescent="0.3">
      <c r="A190" t="s">
        <v>233</v>
      </c>
      <c r="B190" t="s">
        <v>41</v>
      </c>
      <c r="C190" s="1">
        <v>45465</v>
      </c>
      <c r="D190" t="s">
        <v>24</v>
      </c>
      <c r="E190" t="s">
        <v>50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37</v>
      </c>
      <c r="N190">
        <f t="shared" si="4"/>
        <v>0.13809430512016718</v>
      </c>
      <c r="O190">
        <f t="shared" si="5"/>
        <v>0.12094203382654924</v>
      </c>
      <c r="P190">
        <v>14216</v>
      </c>
    </row>
    <row r="191" spans="1:16" x14ac:dyDescent="0.3">
      <c r="A191" t="s">
        <v>234</v>
      </c>
      <c r="B191" t="s">
        <v>34</v>
      </c>
      <c r="C191" s="1">
        <v>45674</v>
      </c>
      <c r="D191" t="s">
        <v>18</v>
      </c>
      <c r="E191" t="s">
        <v>66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20</v>
      </c>
      <c r="M191" t="s">
        <v>38</v>
      </c>
      <c r="N191">
        <f t="shared" si="4"/>
        <v>0.6508215962441315</v>
      </c>
      <c r="O191">
        <f t="shared" si="5"/>
        <v>0.18531784517185629</v>
      </c>
      <c r="P191">
        <v>3582</v>
      </c>
    </row>
    <row r="192" spans="1:16" x14ac:dyDescent="0.3">
      <c r="A192" t="s">
        <v>235</v>
      </c>
      <c r="B192" t="s">
        <v>41</v>
      </c>
      <c r="C192" s="1">
        <v>45463</v>
      </c>
      <c r="D192" t="s">
        <v>61</v>
      </c>
      <c r="E192" t="s">
        <v>62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26</v>
      </c>
      <c r="M192" t="s">
        <v>21</v>
      </c>
      <c r="N192">
        <f t="shared" si="4"/>
        <v>5.4081095313322801E-2</v>
      </c>
      <c r="O192">
        <f t="shared" si="5"/>
        <v>0.12094203382654924</v>
      </c>
      <c r="P192">
        <v>32500</v>
      </c>
    </row>
    <row r="193" spans="1:16" x14ac:dyDescent="0.3">
      <c r="A193" t="s">
        <v>236</v>
      </c>
      <c r="B193" t="s">
        <v>34</v>
      </c>
      <c r="C193" s="1">
        <v>45483</v>
      </c>
      <c r="D193" t="s">
        <v>42</v>
      </c>
      <c r="E193" t="s">
        <v>70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26</v>
      </c>
      <c r="M193" t="s">
        <v>32</v>
      </c>
      <c r="N193">
        <f t="shared" si="4"/>
        <v>9.1365878393951966E-2</v>
      </c>
      <c r="O193">
        <f t="shared" si="5"/>
        <v>0.18531784517185629</v>
      </c>
      <c r="P193">
        <v>6832</v>
      </c>
    </row>
    <row r="194" spans="1:16" x14ac:dyDescent="0.3">
      <c r="A194" t="s">
        <v>237</v>
      </c>
      <c r="B194" t="s">
        <v>34</v>
      </c>
      <c r="C194" s="1">
        <v>45603</v>
      </c>
      <c r="D194" t="s">
        <v>61</v>
      </c>
      <c r="E194" t="s">
        <v>68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26</v>
      </c>
      <c r="M194" t="s">
        <v>38</v>
      </c>
      <c r="N194">
        <f t="shared" ref="N194:N257" si="6">(F194+G194+H194)/I194</f>
        <v>0.70387596899224802</v>
      </c>
      <c r="O194">
        <f t="shared" ref="O194:O257" si="7">AVERAGEIF(B:B,B194,N:N)</f>
        <v>0.18531784517185629</v>
      </c>
      <c r="P194">
        <v>33381</v>
      </c>
    </row>
    <row r="195" spans="1:16" x14ac:dyDescent="0.3">
      <c r="A195" t="s">
        <v>238</v>
      </c>
      <c r="B195" t="s">
        <v>41</v>
      </c>
      <c r="C195" s="1">
        <v>45488</v>
      </c>
      <c r="D195" t="s">
        <v>42</v>
      </c>
      <c r="E195" t="s">
        <v>43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26</v>
      </c>
      <c r="N195">
        <f t="shared" si="6"/>
        <v>7.5280481001673588E-2</v>
      </c>
      <c r="O195">
        <f t="shared" si="7"/>
        <v>0.12094203382654924</v>
      </c>
      <c r="P195">
        <v>48419</v>
      </c>
    </row>
    <row r="196" spans="1:16" x14ac:dyDescent="0.3">
      <c r="A196" t="s">
        <v>239</v>
      </c>
      <c r="B196" t="s">
        <v>30</v>
      </c>
      <c r="C196" s="1">
        <v>45629</v>
      </c>
      <c r="D196" t="s">
        <v>24</v>
      </c>
      <c r="E196" t="s">
        <v>78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26</v>
      </c>
      <c r="M196" t="s">
        <v>21</v>
      </c>
      <c r="N196">
        <f t="shared" si="6"/>
        <v>9.023070704558174E-2</v>
      </c>
      <c r="O196">
        <f t="shared" si="7"/>
        <v>0.13298735096853673</v>
      </c>
      <c r="P196">
        <v>16149</v>
      </c>
    </row>
    <row r="197" spans="1:16" x14ac:dyDescent="0.3">
      <c r="A197" t="s">
        <v>240</v>
      </c>
      <c r="B197" t="s">
        <v>30</v>
      </c>
      <c r="C197" s="1">
        <v>45737</v>
      </c>
      <c r="D197" t="s">
        <v>47</v>
      </c>
      <c r="E197" t="s">
        <v>48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37</v>
      </c>
      <c r="M197" t="s">
        <v>32</v>
      </c>
      <c r="N197">
        <f t="shared" si="6"/>
        <v>0.23673521198273673</v>
      </c>
      <c r="O197">
        <f t="shared" si="7"/>
        <v>0.13298735096853673</v>
      </c>
      <c r="P197">
        <v>7541</v>
      </c>
    </row>
    <row r="198" spans="1:16" x14ac:dyDescent="0.3">
      <c r="A198" t="s">
        <v>241</v>
      </c>
      <c r="B198" t="s">
        <v>41</v>
      </c>
      <c r="C198" s="1">
        <v>45504</v>
      </c>
      <c r="D198" t="s">
        <v>47</v>
      </c>
      <c r="E198" t="s">
        <v>52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26</v>
      </c>
      <c r="M198" t="s">
        <v>38</v>
      </c>
      <c r="N198">
        <f t="shared" si="6"/>
        <v>0.10132030477519921</v>
      </c>
      <c r="O198">
        <f t="shared" si="7"/>
        <v>0.12094203382654924</v>
      </c>
      <c r="P198">
        <v>20042</v>
      </c>
    </row>
    <row r="199" spans="1:16" x14ac:dyDescent="0.3">
      <c r="A199" t="s">
        <v>242</v>
      </c>
      <c r="B199" t="s">
        <v>34</v>
      </c>
      <c r="C199" s="1">
        <v>45643</v>
      </c>
      <c r="D199" t="s">
        <v>35</v>
      </c>
      <c r="E199" t="s">
        <v>36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20</v>
      </c>
      <c r="M199" t="s">
        <v>27</v>
      </c>
      <c r="N199">
        <f t="shared" si="6"/>
        <v>0.28696581196581195</v>
      </c>
      <c r="O199">
        <f t="shared" si="7"/>
        <v>0.18531784517185629</v>
      </c>
      <c r="P199">
        <v>49400</v>
      </c>
    </row>
    <row r="200" spans="1:16" x14ac:dyDescent="0.3">
      <c r="A200" t="s">
        <v>243</v>
      </c>
      <c r="B200" t="s">
        <v>17</v>
      </c>
      <c r="C200" s="1">
        <v>45501</v>
      </c>
      <c r="D200" t="s">
        <v>47</v>
      </c>
      <c r="E200" t="s">
        <v>93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37</v>
      </c>
      <c r="M200" t="s">
        <v>21</v>
      </c>
      <c r="N200">
        <f t="shared" si="6"/>
        <v>0.13614307931570763</v>
      </c>
      <c r="O200">
        <f t="shared" si="7"/>
        <v>0.13739368723551609</v>
      </c>
      <c r="P200">
        <v>4007</v>
      </c>
    </row>
    <row r="201" spans="1:16" x14ac:dyDescent="0.3">
      <c r="A201" t="s">
        <v>244</v>
      </c>
      <c r="B201" t="s">
        <v>34</v>
      </c>
      <c r="C201" s="1">
        <v>45668</v>
      </c>
      <c r="D201" t="s">
        <v>42</v>
      </c>
      <c r="E201" t="s">
        <v>70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37</v>
      </c>
      <c r="N201">
        <f t="shared" si="6"/>
        <v>9.5290736237010829E-2</v>
      </c>
      <c r="O201">
        <f t="shared" si="7"/>
        <v>0.18531784517185629</v>
      </c>
      <c r="P201">
        <v>12174</v>
      </c>
    </row>
    <row r="202" spans="1:16" x14ac:dyDescent="0.3">
      <c r="A202" t="s">
        <v>245</v>
      </c>
      <c r="B202" t="s">
        <v>41</v>
      </c>
      <c r="C202" s="1">
        <v>45528</v>
      </c>
      <c r="D202" t="s">
        <v>42</v>
      </c>
      <c r="E202" t="s">
        <v>43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37</v>
      </c>
      <c r="M202" t="s">
        <v>32</v>
      </c>
      <c r="N202">
        <f t="shared" si="6"/>
        <v>8.4862714173059003E-2</v>
      </c>
      <c r="O202">
        <f t="shared" si="7"/>
        <v>0.12094203382654924</v>
      </c>
    </row>
    <row r="203" spans="1:16" x14ac:dyDescent="0.3">
      <c r="A203" t="s">
        <v>246</v>
      </c>
      <c r="B203" t="s">
        <v>17</v>
      </c>
      <c r="C203" s="1">
        <v>45648</v>
      </c>
      <c r="D203" t="s">
        <v>18</v>
      </c>
      <c r="E203" t="s">
        <v>19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37</v>
      </c>
      <c r="M203" t="s">
        <v>32</v>
      </c>
      <c r="N203">
        <f t="shared" si="6"/>
        <v>8.3726921425504502E-2</v>
      </c>
      <c r="O203">
        <f t="shared" si="7"/>
        <v>0.13739368723551609</v>
      </c>
    </row>
    <row r="204" spans="1:16" x14ac:dyDescent="0.3">
      <c r="A204" t="s">
        <v>247</v>
      </c>
      <c r="B204" t="s">
        <v>30</v>
      </c>
      <c r="C204" s="1">
        <v>45449</v>
      </c>
      <c r="D204" t="s">
        <v>18</v>
      </c>
      <c r="E204" t="s">
        <v>31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20</v>
      </c>
      <c r="M204" t="s">
        <v>27</v>
      </c>
      <c r="N204">
        <f t="shared" si="6"/>
        <v>8.4946236559139784E-2</v>
      </c>
      <c r="O204">
        <f t="shared" si="7"/>
        <v>0.13298735096853673</v>
      </c>
    </row>
    <row r="205" spans="1:16" x14ac:dyDescent="0.3">
      <c r="A205" t="s">
        <v>248</v>
      </c>
      <c r="B205" t="s">
        <v>41</v>
      </c>
      <c r="C205" s="1">
        <v>45740</v>
      </c>
      <c r="D205" t="s">
        <v>18</v>
      </c>
      <c r="E205" t="s">
        <v>55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26</v>
      </c>
      <c r="M205" t="s">
        <v>21</v>
      </c>
      <c r="N205">
        <f t="shared" si="6"/>
        <v>7.2503306878306875E-2</v>
      </c>
      <c r="O205">
        <f t="shared" si="7"/>
        <v>0.12094203382654924</v>
      </c>
    </row>
    <row r="206" spans="1:16" x14ac:dyDescent="0.3">
      <c r="A206" t="s">
        <v>249</v>
      </c>
      <c r="B206" t="s">
        <v>30</v>
      </c>
      <c r="C206" s="1">
        <v>45569</v>
      </c>
      <c r="D206" t="s">
        <v>24</v>
      </c>
      <c r="E206" t="s">
        <v>78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20</v>
      </c>
      <c r="N206">
        <f t="shared" si="6"/>
        <v>5.5909322465613857E-2</v>
      </c>
      <c r="O206">
        <f t="shared" si="7"/>
        <v>0.13298735096853673</v>
      </c>
    </row>
    <row r="207" spans="1:16" x14ac:dyDescent="0.3">
      <c r="A207" t="s">
        <v>250</v>
      </c>
      <c r="B207" t="s">
        <v>30</v>
      </c>
      <c r="C207" s="1">
        <v>45629</v>
      </c>
      <c r="D207" t="s">
        <v>35</v>
      </c>
      <c r="E207" t="s">
        <v>106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20</v>
      </c>
      <c r="M207" t="s">
        <v>32</v>
      </c>
      <c r="N207">
        <f t="shared" si="6"/>
        <v>9.9578134817341346E-2</v>
      </c>
      <c r="O207">
        <f t="shared" si="7"/>
        <v>0.13298735096853673</v>
      </c>
    </row>
    <row r="208" spans="1:16" x14ac:dyDescent="0.3">
      <c r="A208" t="s">
        <v>251</v>
      </c>
      <c r="B208" t="s">
        <v>34</v>
      </c>
      <c r="C208" s="1">
        <v>45625</v>
      </c>
      <c r="D208" t="s">
        <v>61</v>
      </c>
      <c r="E208" t="s">
        <v>68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37</v>
      </c>
      <c r="N208">
        <f t="shared" si="6"/>
        <v>0.1441326530612245</v>
      </c>
      <c r="O208">
        <f t="shared" si="7"/>
        <v>0.18531784517185629</v>
      </c>
    </row>
    <row r="209" spans="1:15" x14ac:dyDescent="0.3">
      <c r="A209" t="s">
        <v>252</v>
      </c>
      <c r="B209" t="s">
        <v>17</v>
      </c>
      <c r="C209" s="1">
        <v>45546</v>
      </c>
      <c r="D209" t="s">
        <v>47</v>
      </c>
      <c r="E209" t="s">
        <v>93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37</v>
      </c>
      <c r="M209" t="s">
        <v>32</v>
      </c>
      <c r="N209">
        <f t="shared" si="6"/>
        <v>9.9255211647142488E-2</v>
      </c>
      <c r="O209">
        <f t="shared" si="7"/>
        <v>0.13739368723551609</v>
      </c>
    </row>
    <row r="210" spans="1:15" x14ac:dyDescent="0.3">
      <c r="A210" t="s">
        <v>253</v>
      </c>
      <c r="B210" t="s">
        <v>30</v>
      </c>
      <c r="C210" s="1">
        <v>45567</v>
      </c>
      <c r="D210" t="s">
        <v>35</v>
      </c>
      <c r="E210" t="s">
        <v>106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37</v>
      </c>
      <c r="M210" t="s">
        <v>21</v>
      </c>
      <c r="N210">
        <f t="shared" si="6"/>
        <v>8.4203612479474554E-2</v>
      </c>
      <c r="O210">
        <f t="shared" si="7"/>
        <v>0.13298735096853673</v>
      </c>
    </row>
    <row r="211" spans="1:15" x14ac:dyDescent="0.3">
      <c r="A211" t="s">
        <v>254</v>
      </c>
      <c r="B211" t="s">
        <v>34</v>
      </c>
      <c r="C211" s="1">
        <v>45519</v>
      </c>
      <c r="D211" t="s">
        <v>42</v>
      </c>
      <c r="E211" t="s">
        <v>70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20</v>
      </c>
      <c r="M211" t="s">
        <v>38</v>
      </c>
      <c r="N211">
        <f t="shared" si="6"/>
        <v>0.13667732704931829</v>
      </c>
      <c r="O211">
        <f t="shared" si="7"/>
        <v>0.18531784517185629</v>
      </c>
    </row>
    <row r="212" spans="1:15" x14ac:dyDescent="0.3">
      <c r="A212" t="s">
        <v>254</v>
      </c>
      <c r="B212" t="s">
        <v>34</v>
      </c>
      <c r="C212" s="1">
        <v>45519</v>
      </c>
      <c r="D212" t="s">
        <v>42</v>
      </c>
      <c r="E212" t="s">
        <v>70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26</v>
      </c>
      <c r="M212" t="s">
        <v>38</v>
      </c>
      <c r="N212">
        <f t="shared" si="6"/>
        <v>0.13667732704931829</v>
      </c>
      <c r="O212">
        <f t="shared" si="7"/>
        <v>0.18531784517185629</v>
      </c>
    </row>
    <row r="213" spans="1:15" x14ac:dyDescent="0.3">
      <c r="A213" t="s">
        <v>254</v>
      </c>
      <c r="B213" t="s">
        <v>34</v>
      </c>
      <c r="C213" s="1">
        <v>45519</v>
      </c>
      <c r="D213" t="s">
        <v>42</v>
      </c>
      <c r="E213" t="s">
        <v>70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22</v>
      </c>
      <c r="M213" t="s">
        <v>38</v>
      </c>
      <c r="N213">
        <f t="shared" si="6"/>
        <v>0.13667732704931829</v>
      </c>
      <c r="O213">
        <f t="shared" si="7"/>
        <v>0.18531784517185629</v>
      </c>
    </row>
    <row r="214" spans="1:15" x14ac:dyDescent="0.3">
      <c r="A214" t="s">
        <v>255</v>
      </c>
      <c r="B214" t="s">
        <v>34</v>
      </c>
      <c r="C214" s="1">
        <v>45645</v>
      </c>
      <c r="D214" t="s">
        <v>24</v>
      </c>
      <c r="E214" t="s">
        <v>83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37</v>
      </c>
      <c r="M214" t="s">
        <v>32</v>
      </c>
      <c r="N214">
        <f t="shared" si="6"/>
        <v>0.12575841147269717</v>
      </c>
      <c r="O214">
        <f t="shared" si="7"/>
        <v>0.18531784517185629</v>
      </c>
    </row>
    <row r="215" spans="1:15" x14ac:dyDescent="0.3">
      <c r="A215" t="s">
        <v>256</v>
      </c>
      <c r="B215" t="s">
        <v>17</v>
      </c>
      <c r="C215" s="1">
        <v>45587</v>
      </c>
      <c r="D215" t="s">
        <v>18</v>
      </c>
      <c r="E215" t="s">
        <v>19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37</v>
      </c>
      <c r="M215" t="s">
        <v>21</v>
      </c>
      <c r="N215">
        <f t="shared" si="6"/>
        <v>6.4884520656164318E-2</v>
      </c>
      <c r="O215">
        <f t="shared" si="7"/>
        <v>0.13739368723551609</v>
      </c>
    </row>
    <row r="216" spans="1:15" x14ac:dyDescent="0.3">
      <c r="A216" t="s">
        <v>257</v>
      </c>
      <c r="B216" t="s">
        <v>17</v>
      </c>
      <c r="C216" s="1">
        <v>45549</v>
      </c>
      <c r="D216" t="s">
        <v>47</v>
      </c>
      <c r="E216" t="s">
        <v>93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26</v>
      </c>
      <c r="M216" t="s">
        <v>32</v>
      </c>
      <c r="N216">
        <f t="shared" si="6"/>
        <v>0.19847328244274809</v>
      </c>
      <c r="O216">
        <f t="shared" si="7"/>
        <v>0.13739368723551609</v>
      </c>
    </row>
    <row r="217" spans="1:15" x14ac:dyDescent="0.3">
      <c r="A217" t="s">
        <v>258</v>
      </c>
      <c r="B217" t="s">
        <v>30</v>
      </c>
      <c r="C217" s="1">
        <v>45626</v>
      </c>
      <c r="D217" t="s">
        <v>42</v>
      </c>
      <c r="E217" t="s">
        <v>57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26</v>
      </c>
      <c r="M217" t="s">
        <v>27</v>
      </c>
      <c r="N217">
        <f t="shared" si="6"/>
        <v>8.5520696919660646E-2</v>
      </c>
      <c r="O217">
        <f t="shared" si="7"/>
        <v>0.13298735096853673</v>
      </c>
    </row>
    <row r="218" spans="1:15" x14ac:dyDescent="0.3">
      <c r="A218" t="s">
        <v>259</v>
      </c>
      <c r="B218" t="s">
        <v>41</v>
      </c>
      <c r="C218" s="1">
        <v>45754</v>
      </c>
      <c r="D218" t="s">
        <v>18</v>
      </c>
      <c r="E218" t="s">
        <v>55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26</v>
      </c>
      <c r="M218" t="s">
        <v>27</v>
      </c>
      <c r="N218">
        <f t="shared" si="6"/>
        <v>6.246991874522239E-2</v>
      </c>
      <c r="O218">
        <f t="shared" si="7"/>
        <v>0.12094203382654924</v>
      </c>
    </row>
    <row r="219" spans="1:15" x14ac:dyDescent="0.3">
      <c r="A219" t="s">
        <v>260</v>
      </c>
      <c r="B219" t="s">
        <v>17</v>
      </c>
      <c r="C219" s="1">
        <v>45672</v>
      </c>
      <c r="D219" t="s">
        <v>18</v>
      </c>
      <c r="E219" t="s">
        <v>19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37</v>
      </c>
      <c r="M219" t="s">
        <v>21</v>
      </c>
      <c r="N219">
        <f t="shared" si="6"/>
        <v>9.0606816292601824E-2</v>
      </c>
      <c r="O219">
        <f t="shared" si="7"/>
        <v>0.13739368723551609</v>
      </c>
    </row>
    <row r="220" spans="1:15" x14ac:dyDescent="0.3">
      <c r="A220" t="s">
        <v>261</v>
      </c>
      <c r="B220" t="s">
        <v>41</v>
      </c>
      <c r="C220" s="1">
        <v>45445</v>
      </c>
      <c r="D220" t="s">
        <v>47</v>
      </c>
      <c r="E220" t="s">
        <v>52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37</v>
      </c>
      <c r="M220" t="s">
        <v>32</v>
      </c>
      <c r="N220">
        <f t="shared" si="6"/>
        <v>8.2108498129342594E-2</v>
      </c>
      <c r="O220">
        <f t="shared" si="7"/>
        <v>0.12094203382654924</v>
      </c>
    </row>
    <row r="221" spans="1:15" x14ac:dyDescent="0.3">
      <c r="A221" t="s">
        <v>262</v>
      </c>
      <c r="B221" t="s">
        <v>34</v>
      </c>
      <c r="C221" s="1">
        <v>45617</v>
      </c>
      <c r="D221" t="s">
        <v>42</v>
      </c>
      <c r="E221" t="s">
        <v>70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20</v>
      </c>
      <c r="M221" t="s">
        <v>21</v>
      </c>
      <c r="N221">
        <f t="shared" si="6"/>
        <v>5.7332570758993957E-2</v>
      </c>
      <c r="O221">
        <f t="shared" si="7"/>
        <v>0.18531784517185629</v>
      </c>
    </row>
    <row r="222" spans="1:15" x14ac:dyDescent="0.3">
      <c r="A222" t="s">
        <v>263</v>
      </c>
      <c r="B222" t="s">
        <v>34</v>
      </c>
      <c r="C222" s="1">
        <v>45658</v>
      </c>
      <c r="D222" t="s">
        <v>42</v>
      </c>
      <c r="E222" t="s">
        <v>70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20</v>
      </c>
      <c r="M222" t="s">
        <v>32</v>
      </c>
      <c r="N222">
        <f t="shared" si="6"/>
        <v>0.29713518352730528</v>
      </c>
      <c r="O222">
        <f t="shared" si="7"/>
        <v>0.18531784517185629</v>
      </c>
    </row>
    <row r="223" spans="1:15" x14ac:dyDescent="0.3">
      <c r="A223" t="s">
        <v>264</v>
      </c>
      <c r="B223" t="s">
        <v>17</v>
      </c>
      <c r="C223" s="1">
        <v>45771</v>
      </c>
      <c r="D223" t="s">
        <v>61</v>
      </c>
      <c r="E223" t="s">
        <v>100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26</v>
      </c>
      <c r="M223" t="s">
        <v>38</v>
      </c>
      <c r="N223">
        <f t="shared" si="6"/>
        <v>0.1043848167539267</v>
      </c>
      <c r="O223">
        <f t="shared" si="7"/>
        <v>0.13739368723551609</v>
      </c>
    </row>
    <row r="224" spans="1:15" x14ac:dyDescent="0.3">
      <c r="A224" t="s">
        <v>264</v>
      </c>
      <c r="B224" t="s">
        <v>17</v>
      </c>
      <c r="C224" s="1">
        <v>45771</v>
      </c>
      <c r="D224" t="s">
        <v>61</v>
      </c>
      <c r="E224" t="s">
        <v>100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199</v>
      </c>
      <c r="M224" t="s">
        <v>38</v>
      </c>
      <c r="N224">
        <f t="shared" si="6"/>
        <v>0.1043848167539267</v>
      </c>
      <c r="O224">
        <f t="shared" si="7"/>
        <v>0.13739368723551609</v>
      </c>
    </row>
    <row r="225" spans="1:15" x14ac:dyDescent="0.3">
      <c r="A225" t="s">
        <v>265</v>
      </c>
      <c r="B225" t="s">
        <v>17</v>
      </c>
      <c r="C225" s="1">
        <v>45467</v>
      </c>
      <c r="D225" t="s">
        <v>24</v>
      </c>
      <c r="E225" t="s">
        <v>25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37</v>
      </c>
      <c r="M225" t="s">
        <v>21</v>
      </c>
      <c r="N225">
        <f t="shared" si="6"/>
        <v>0.10768685795253277</v>
      </c>
      <c r="O225">
        <f t="shared" si="7"/>
        <v>0.13739368723551609</v>
      </c>
    </row>
    <row r="226" spans="1:15" x14ac:dyDescent="0.3">
      <c r="A226" t="s">
        <v>266</v>
      </c>
      <c r="B226" t="s">
        <v>17</v>
      </c>
      <c r="C226" s="1">
        <v>45655</v>
      </c>
      <c r="D226" t="s">
        <v>42</v>
      </c>
      <c r="E226" t="s">
        <v>45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26</v>
      </c>
      <c r="M226" t="s">
        <v>32</v>
      </c>
      <c r="N226">
        <f t="shared" si="6"/>
        <v>0.14316214319138981</v>
      </c>
      <c r="O226">
        <f t="shared" si="7"/>
        <v>0.13739368723551609</v>
      </c>
    </row>
    <row r="227" spans="1:15" x14ac:dyDescent="0.3">
      <c r="A227" t="s">
        <v>266</v>
      </c>
      <c r="B227" t="s">
        <v>17</v>
      </c>
      <c r="C227" s="1">
        <v>45655</v>
      </c>
      <c r="D227" t="s">
        <v>42</v>
      </c>
      <c r="E227" t="s">
        <v>45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199</v>
      </c>
      <c r="M227" t="s">
        <v>32</v>
      </c>
      <c r="N227">
        <f t="shared" si="6"/>
        <v>0.14316214319138981</v>
      </c>
      <c r="O227">
        <f t="shared" si="7"/>
        <v>0.13739368723551609</v>
      </c>
    </row>
    <row r="228" spans="1:15" x14ac:dyDescent="0.3">
      <c r="A228" t="s">
        <v>267</v>
      </c>
      <c r="B228" t="s">
        <v>30</v>
      </c>
      <c r="C228" s="1">
        <v>45467</v>
      </c>
      <c r="D228" t="s">
        <v>61</v>
      </c>
      <c r="E228" t="s">
        <v>141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26</v>
      </c>
      <c r="M228" t="s">
        <v>27</v>
      </c>
      <c r="N228">
        <f t="shared" si="6"/>
        <v>8.6537809426924378E-2</v>
      </c>
      <c r="O228">
        <f t="shared" si="7"/>
        <v>0.13298735096853673</v>
      </c>
    </row>
    <row r="229" spans="1:15" x14ac:dyDescent="0.3">
      <c r="A229" t="s">
        <v>268</v>
      </c>
      <c r="B229" t="s">
        <v>17</v>
      </c>
      <c r="C229" s="1">
        <v>45735</v>
      </c>
      <c r="D229" t="s">
        <v>61</v>
      </c>
      <c r="E229" t="s">
        <v>100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20</v>
      </c>
      <c r="M229" t="s">
        <v>38</v>
      </c>
      <c r="N229">
        <f t="shared" si="6"/>
        <v>8.2753164556962022E-2</v>
      </c>
      <c r="O229">
        <f t="shared" si="7"/>
        <v>0.13739368723551609</v>
      </c>
    </row>
    <row r="230" spans="1:15" x14ac:dyDescent="0.3">
      <c r="A230" t="s">
        <v>268</v>
      </c>
      <c r="B230" t="s">
        <v>17</v>
      </c>
      <c r="C230" s="1">
        <v>45735</v>
      </c>
      <c r="D230" t="s">
        <v>61</v>
      </c>
      <c r="E230" t="s">
        <v>100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22</v>
      </c>
      <c r="M230" t="s">
        <v>38</v>
      </c>
      <c r="N230">
        <f t="shared" si="6"/>
        <v>8.2753164556962022E-2</v>
      </c>
      <c r="O230">
        <f t="shared" si="7"/>
        <v>0.13739368723551609</v>
      </c>
    </row>
    <row r="231" spans="1:15" x14ac:dyDescent="0.3">
      <c r="A231" t="s">
        <v>269</v>
      </c>
      <c r="B231" t="s">
        <v>30</v>
      </c>
      <c r="C231" s="1">
        <v>45707</v>
      </c>
      <c r="D231" t="s">
        <v>47</v>
      </c>
      <c r="E231" t="s">
        <v>48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20</v>
      </c>
      <c r="M231" t="s">
        <v>21</v>
      </c>
      <c r="N231">
        <f t="shared" si="6"/>
        <v>0.48518407662376534</v>
      </c>
      <c r="O231">
        <f t="shared" si="7"/>
        <v>0.13298735096853673</v>
      </c>
    </row>
    <row r="232" spans="1:15" x14ac:dyDescent="0.3">
      <c r="A232" t="s">
        <v>270</v>
      </c>
      <c r="B232" t="s">
        <v>17</v>
      </c>
      <c r="C232" s="1">
        <v>45491</v>
      </c>
      <c r="D232" t="s">
        <v>42</v>
      </c>
      <c r="E232" t="s">
        <v>45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20</v>
      </c>
      <c r="M232" t="s">
        <v>38</v>
      </c>
      <c r="N232">
        <f t="shared" si="6"/>
        <v>0.18632075471698112</v>
      </c>
      <c r="O232">
        <f t="shared" si="7"/>
        <v>0.13739368723551609</v>
      </c>
    </row>
    <row r="233" spans="1:15" x14ac:dyDescent="0.3">
      <c r="A233" t="s">
        <v>271</v>
      </c>
      <c r="B233" t="s">
        <v>30</v>
      </c>
      <c r="C233" s="1">
        <v>45719</v>
      </c>
      <c r="D233" t="s">
        <v>61</v>
      </c>
      <c r="E233" t="s">
        <v>141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26</v>
      </c>
      <c r="M233" t="s">
        <v>27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272</v>
      </c>
      <c r="B234" t="s">
        <v>41</v>
      </c>
      <c r="C234" s="1">
        <v>45778</v>
      </c>
      <c r="D234" t="s">
        <v>42</v>
      </c>
      <c r="E234" t="s">
        <v>43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37</v>
      </c>
      <c r="M234" t="s">
        <v>38</v>
      </c>
      <c r="N234">
        <f t="shared" si="6"/>
        <v>8.21914819340199E-2</v>
      </c>
      <c r="O234">
        <f t="shared" si="7"/>
        <v>0.12094203382654924</v>
      </c>
    </row>
    <row r="235" spans="1:15" x14ac:dyDescent="0.3">
      <c r="A235" t="s">
        <v>273</v>
      </c>
      <c r="B235" t="s">
        <v>34</v>
      </c>
      <c r="C235" s="1">
        <v>45649</v>
      </c>
      <c r="D235" t="s">
        <v>47</v>
      </c>
      <c r="E235" t="s">
        <v>139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20</v>
      </c>
      <c r="M235" t="s">
        <v>27</v>
      </c>
      <c r="N235">
        <f t="shared" si="6"/>
        <v>0.37955854126679461</v>
      </c>
      <c r="O235">
        <f t="shared" si="7"/>
        <v>0.18531784517185629</v>
      </c>
    </row>
    <row r="236" spans="1:15" x14ac:dyDescent="0.3">
      <c r="A236" t="s">
        <v>274</v>
      </c>
      <c r="B236" t="s">
        <v>41</v>
      </c>
      <c r="C236" s="1">
        <v>45783</v>
      </c>
      <c r="D236" t="s">
        <v>47</v>
      </c>
      <c r="E236" t="s">
        <v>52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37</v>
      </c>
      <c r="M236" t="s">
        <v>27</v>
      </c>
      <c r="N236">
        <f t="shared" si="6"/>
        <v>7.2116777745580993E-2</v>
      </c>
      <c r="O236">
        <f t="shared" si="7"/>
        <v>0.12094203382654924</v>
      </c>
    </row>
    <row r="237" spans="1:15" x14ac:dyDescent="0.3">
      <c r="A237" t="s">
        <v>275</v>
      </c>
      <c r="B237" t="s">
        <v>30</v>
      </c>
      <c r="C237" s="1">
        <v>45502</v>
      </c>
      <c r="D237" t="s">
        <v>35</v>
      </c>
      <c r="E237" t="s">
        <v>106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37</v>
      </c>
      <c r="M237" t="s">
        <v>27</v>
      </c>
      <c r="N237">
        <f t="shared" si="6"/>
        <v>5.8316766070245198E-2</v>
      </c>
      <c r="O237">
        <f t="shared" si="7"/>
        <v>0.13298735096853673</v>
      </c>
    </row>
    <row r="238" spans="1:15" x14ac:dyDescent="0.3">
      <c r="A238" t="s">
        <v>276</v>
      </c>
      <c r="B238" t="s">
        <v>41</v>
      </c>
      <c r="C238" s="1">
        <v>45629</v>
      </c>
      <c r="D238" t="s">
        <v>47</v>
      </c>
      <c r="E238" t="s">
        <v>52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26</v>
      </c>
      <c r="N238">
        <f t="shared" si="6"/>
        <v>6.2603126356925748E-2</v>
      </c>
      <c r="O238">
        <f t="shared" si="7"/>
        <v>0.12094203382654924</v>
      </c>
    </row>
    <row r="239" spans="1:15" x14ac:dyDescent="0.3">
      <c r="A239" t="s">
        <v>277</v>
      </c>
      <c r="B239" t="s">
        <v>41</v>
      </c>
      <c r="C239" s="1">
        <v>45454</v>
      </c>
      <c r="D239" t="s">
        <v>42</v>
      </c>
      <c r="E239" t="s">
        <v>43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26</v>
      </c>
      <c r="M239" t="s">
        <v>38</v>
      </c>
      <c r="N239">
        <f t="shared" si="6"/>
        <v>0.18806848582129482</v>
      </c>
      <c r="O239">
        <f t="shared" si="7"/>
        <v>0.12094203382654924</v>
      </c>
    </row>
    <row r="240" spans="1:15" x14ac:dyDescent="0.3">
      <c r="A240" t="s">
        <v>278</v>
      </c>
      <c r="B240" t="s">
        <v>17</v>
      </c>
      <c r="C240" s="1">
        <v>45685</v>
      </c>
      <c r="D240" t="s">
        <v>18</v>
      </c>
      <c r="E240" t="s">
        <v>19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26</v>
      </c>
      <c r="M240" t="s">
        <v>38</v>
      </c>
      <c r="N240">
        <f t="shared" si="6"/>
        <v>0.25701459034792368</v>
      </c>
      <c r="O240">
        <f t="shared" si="7"/>
        <v>0.13739368723551609</v>
      </c>
    </row>
    <row r="241" spans="1:15" x14ac:dyDescent="0.3">
      <c r="A241" t="s">
        <v>279</v>
      </c>
      <c r="B241" t="s">
        <v>34</v>
      </c>
      <c r="C241" s="1">
        <v>45445</v>
      </c>
      <c r="D241" t="s">
        <v>35</v>
      </c>
      <c r="E241" t="s">
        <v>36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37</v>
      </c>
      <c r="N241">
        <f t="shared" si="6"/>
        <v>1.8129251700680271</v>
      </c>
      <c r="O241">
        <f t="shared" si="7"/>
        <v>0.18531784517185629</v>
      </c>
    </row>
    <row r="242" spans="1:15" x14ac:dyDescent="0.3">
      <c r="A242" t="s">
        <v>280</v>
      </c>
      <c r="B242" t="s">
        <v>41</v>
      </c>
      <c r="C242" s="1">
        <v>45739</v>
      </c>
      <c r="D242" t="s">
        <v>61</v>
      </c>
      <c r="E242" t="s">
        <v>62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26</v>
      </c>
      <c r="N242">
        <f t="shared" si="6"/>
        <v>0.15989220750056141</v>
      </c>
      <c r="O242">
        <f t="shared" si="7"/>
        <v>0.12094203382654924</v>
      </c>
    </row>
    <row r="243" spans="1:15" x14ac:dyDescent="0.3">
      <c r="A243" t="s">
        <v>281</v>
      </c>
      <c r="B243" t="s">
        <v>41</v>
      </c>
      <c r="C243" s="1">
        <v>45573</v>
      </c>
      <c r="D243" t="s">
        <v>18</v>
      </c>
      <c r="E243" t="s">
        <v>55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20</v>
      </c>
      <c r="M243" t="s">
        <v>21</v>
      </c>
      <c r="N243">
        <f t="shared" si="6"/>
        <v>0.11143487163332809</v>
      </c>
      <c r="O243">
        <f t="shared" si="7"/>
        <v>0.12094203382654924</v>
      </c>
    </row>
    <row r="244" spans="1:15" x14ac:dyDescent="0.3">
      <c r="A244" t="s">
        <v>281</v>
      </c>
      <c r="B244" t="s">
        <v>41</v>
      </c>
      <c r="C244" s="1">
        <v>45573</v>
      </c>
      <c r="D244" t="s">
        <v>18</v>
      </c>
      <c r="E244" t="s">
        <v>55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199</v>
      </c>
      <c r="M244" t="s">
        <v>21</v>
      </c>
      <c r="N244">
        <f t="shared" si="6"/>
        <v>0.11143487163332809</v>
      </c>
      <c r="O244">
        <f t="shared" si="7"/>
        <v>0.12094203382654924</v>
      </c>
    </row>
    <row r="245" spans="1:15" x14ac:dyDescent="0.3">
      <c r="A245" t="s">
        <v>282</v>
      </c>
      <c r="B245" t="s">
        <v>17</v>
      </c>
      <c r="C245" s="1">
        <v>45608</v>
      </c>
      <c r="D245" t="s">
        <v>47</v>
      </c>
      <c r="E245" t="s">
        <v>93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26</v>
      </c>
      <c r="N245">
        <f t="shared" si="6"/>
        <v>6.2129685107516146E-2</v>
      </c>
      <c r="O245">
        <f t="shared" si="7"/>
        <v>0.13739368723551609</v>
      </c>
    </row>
    <row r="246" spans="1:15" x14ac:dyDescent="0.3">
      <c r="A246" t="s">
        <v>283</v>
      </c>
      <c r="B246" t="s">
        <v>41</v>
      </c>
      <c r="C246" s="1">
        <v>45790</v>
      </c>
      <c r="D246" t="s">
        <v>47</v>
      </c>
      <c r="E246" t="s">
        <v>52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26</v>
      </c>
      <c r="M246" t="s">
        <v>32</v>
      </c>
      <c r="N246">
        <f t="shared" si="6"/>
        <v>0.32083531086853345</v>
      </c>
      <c r="O246">
        <f t="shared" si="7"/>
        <v>0.12094203382654924</v>
      </c>
    </row>
    <row r="247" spans="1:15" x14ac:dyDescent="0.3">
      <c r="A247" t="s">
        <v>284</v>
      </c>
      <c r="B247" t="s">
        <v>17</v>
      </c>
      <c r="C247" s="1">
        <v>45463</v>
      </c>
      <c r="D247" t="s">
        <v>42</v>
      </c>
      <c r="E247" t="s">
        <v>45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37</v>
      </c>
      <c r="N247">
        <f t="shared" si="6"/>
        <v>5.6653298485940883E-2</v>
      </c>
      <c r="O247">
        <f t="shared" si="7"/>
        <v>0.13739368723551609</v>
      </c>
    </row>
    <row r="248" spans="1:15" x14ac:dyDescent="0.3">
      <c r="A248" t="s">
        <v>285</v>
      </c>
      <c r="B248" t="s">
        <v>34</v>
      </c>
      <c r="C248" s="1">
        <v>45511</v>
      </c>
      <c r="D248" t="s">
        <v>42</v>
      </c>
      <c r="E248" t="s">
        <v>70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26</v>
      </c>
      <c r="N248">
        <f t="shared" si="6"/>
        <v>0.25537047673750718</v>
      </c>
      <c r="O248">
        <f t="shared" si="7"/>
        <v>0.18531784517185629</v>
      </c>
    </row>
    <row r="249" spans="1:15" x14ac:dyDescent="0.3">
      <c r="A249" t="s">
        <v>286</v>
      </c>
      <c r="B249" t="s">
        <v>34</v>
      </c>
      <c r="C249" s="1">
        <v>45455</v>
      </c>
      <c r="D249" t="s">
        <v>24</v>
      </c>
      <c r="E249" t="s">
        <v>83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20</v>
      </c>
      <c r="M249" t="s">
        <v>32</v>
      </c>
      <c r="N249">
        <f t="shared" si="6"/>
        <v>0.11232349165596919</v>
      </c>
      <c r="O249">
        <f t="shared" si="7"/>
        <v>0.18531784517185629</v>
      </c>
    </row>
    <row r="250" spans="1:15" x14ac:dyDescent="0.3">
      <c r="A250" t="s">
        <v>287</v>
      </c>
      <c r="B250" t="s">
        <v>34</v>
      </c>
      <c r="C250" s="1">
        <v>45474</v>
      </c>
      <c r="D250" t="s">
        <v>35</v>
      </c>
      <c r="E250" t="s">
        <v>36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37</v>
      </c>
      <c r="M250" t="s">
        <v>21</v>
      </c>
      <c r="N250">
        <f t="shared" si="6"/>
        <v>8.1808097615085965E-2</v>
      </c>
      <c r="O250">
        <f t="shared" si="7"/>
        <v>0.18531784517185629</v>
      </c>
    </row>
    <row r="251" spans="1:15" x14ac:dyDescent="0.3">
      <c r="A251" t="s">
        <v>288</v>
      </c>
      <c r="B251" t="s">
        <v>34</v>
      </c>
      <c r="C251" s="1">
        <v>45476</v>
      </c>
      <c r="D251" t="s">
        <v>42</v>
      </c>
      <c r="E251" t="s">
        <v>70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26</v>
      </c>
      <c r="N251">
        <f t="shared" si="6"/>
        <v>0.13387048227640017</v>
      </c>
      <c r="O251">
        <f t="shared" si="7"/>
        <v>0.18531784517185629</v>
      </c>
    </row>
    <row r="252" spans="1:15" x14ac:dyDescent="0.3">
      <c r="A252" t="s">
        <v>289</v>
      </c>
      <c r="B252" t="s">
        <v>41</v>
      </c>
      <c r="C252" s="1">
        <v>45488</v>
      </c>
      <c r="D252" t="s">
        <v>18</v>
      </c>
      <c r="E252" t="s">
        <v>55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37</v>
      </c>
      <c r="M252" t="s">
        <v>32</v>
      </c>
      <c r="N252">
        <f t="shared" si="6"/>
        <v>7.7512577512577507E-2</v>
      </c>
      <c r="O252">
        <f t="shared" si="7"/>
        <v>0.12094203382654924</v>
      </c>
    </row>
    <row r="253" spans="1:15" x14ac:dyDescent="0.3">
      <c r="A253" t="s">
        <v>290</v>
      </c>
      <c r="B253" t="s">
        <v>34</v>
      </c>
      <c r="C253" s="1">
        <v>45778</v>
      </c>
      <c r="D253" t="s">
        <v>24</v>
      </c>
      <c r="E253" t="s">
        <v>83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20</v>
      </c>
      <c r="M253" t="s">
        <v>21</v>
      </c>
      <c r="N253">
        <f t="shared" si="6"/>
        <v>8.5734265734265735E-2</v>
      </c>
      <c r="O253">
        <f t="shared" si="7"/>
        <v>0.18531784517185629</v>
      </c>
    </row>
    <row r="254" spans="1:15" x14ac:dyDescent="0.3">
      <c r="A254" t="s">
        <v>291</v>
      </c>
      <c r="B254" t="s">
        <v>17</v>
      </c>
      <c r="C254" s="1">
        <v>45776</v>
      </c>
      <c r="D254" t="s">
        <v>35</v>
      </c>
      <c r="E254" t="s">
        <v>103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37</v>
      </c>
      <c r="M254" t="s">
        <v>38</v>
      </c>
      <c r="N254">
        <f t="shared" si="6"/>
        <v>0.7168674698795181</v>
      </c>
      <c r="O254">
        <f t="shared" si="7"/>
        <v>0.13739368723551609</v>
      </c>
    </row>
    <row r="255" spans="1:15" x14ac:dyDescent="0.3">
      <c r="A255" t="s">
        <v>292</v>
      </c>
      <c r="B255" t="s">
        <v>41</v>
      </c>
      <c r="C255" s="1">
        <v>45724</v>
      </c>
      <c r="D255" t="s">
        <v>47</v>
      </c>
      <c r="E255" t="s">
        <v>52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20</v>
      </c>
      <c r="M255" t="s">
        <v>38</v>
      </c>
      <c r="N255">
        <f t="shared" si="6"/>
        <v>7.2969143576826198E-2</v>
      </c>
      <c r="O255">
        <f t="shared" si="7"/>
        <v>0.12094203382654924</v>
      </c>
    </row>
    <row r="256" spans="1:15" x14ac:dyDescent="0.3">
      <c r="A256" t="s">
        <v>293</v>
      </c>
      <c r="B256" t="s">
        <v>41</v>
      </c>
      <c r="C256" s="1">
        <v>45444</v>
      </c>
      <c r="D256" t="s">
        <v>24</v>
      </c>
      <c r="E256" t="s">
        <v>50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26</v>
      </c>
      <c r="N256">
        <f t="shared" si="6"/>
        <v>7.5968222442899705E-2</v>
      </c>
      <c r="O256">
        <f t="shared" si="7"/>
        <v>0.12094203382654924</v>
      </c>
    </row>
    <row r="257" spans="1:15" x14ac:dyDescent="0.3">
      <c r="A257" t="s">
        <v>294</v>
      </c>
      <c r="B257" t="s">
        <v>41</v>
      </c>
      <c r="C257" s="1">
        <v>45648</v>
      </c>
      <c r="D257" t="s">
        <v>47</v>
      </c>
      <c r="E257" t="s">
        <v>52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26</v>
      </c>
      <c r="M257" t="s">
        <v>32</v>
      </c>
      <c r="N257">
        <f t="shared" si="6"/>
        <v>0.1283706906360223</v>
      </c>
      <c r="O257">
        <f t="shared" si="7"/>
        <v>0.12094203382654924</v>
      </c>
    </row>
    <row r="258" spans="1:15" x14ac:dyDescent="0.3">
      <c r="A258" t="s">
        <v>295</v>
      </c>
      <c r="B258" t="s">
        <v>41</v>
      </c>
      <c r="C258" s="1">
        <v>45523</v>
      </c>
      <c r="D258" t="s">
        <v>24</v>
      </c>
      <c r="E258" t="s">
        <v>50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20</v>
      </c>
      <c r="M258" t="s">
        <v>27</v>
      </c>
      <c r="N258">
        <f t="shared" ref="N258:N321" si="8">(F258+G258+H258)/I258</f>
        <v>0.12943516308671441</v>
      </c>
      <c r="O258">
        <f t="shared" ref="O258:O321" si="9">AVERAGEIF(B:B,B258,N:N)</f>
        <v>0.12094203382654924</v>
      </c>
    </row>
    <row r="259" spans="1:15" x14ac:dyDescent="0.3">
      <c r="A259" t="s">
        <v>295</v>
      </c>
      <c r="B259" t="s">
        <v>41</v>
      </c>
      <c r="C259" s="1">
        <v>45523</v>
      </c>
      <c r="D259" t="s">
        <v>24</v>
      </c>
      <c r="E259" t="s">
        <v>50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22</v>
      </c>
      <c r="M259" t="s">
        <v>27</v>
      </c>
      <c r="N259">
        <f t="shared" si="8"/>
        <v>0.12943516308671441</v>
      </c>
      <c r="O259">
        <f t="shared" si="9"/>
        <v>0.12094203382654924</v>
      </c>
    </row>
    <row r="260" spans="1:15" x14ac:dyDescent="0.3">
      <c r="A260" t="s">
        <v>295</v>
      </c>
      <c r="B260" t="s">
        <v>41</v>
      </c>
      <c r="C260" s="1">
        <v>45523</v>
      </c>
      <c r="D260" t="s">
        <v>24</v>
      </c>
      <c r="E260" t="s">
        <v>50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37</v>
      </c>
      <c r="M260" t="s">
        <v>27</v>
      </c>
      <c r="N260">
        <f t="shared" si="8"/>
        <v>0.12943516308671441</v>
      </c>
      <c r="O260">
        <f t="shared" si="9"/>
        <v>0.12094203382654924</v>
      </c>
    </row>
    <row r="261" spans="1:15" x14ac:dyDescent="0.3">
      <c r="A261" t="s">
        <v>296</v>
      </c>
      <c r="B261" t="s">
        <v>34</v>
      </c>
      <c r="C261" s="1">
        <v>45587</v>
      </c>
      <c r="D261" t="s">
        <v>35</v>
      </c>
      <c r="E261" t="s">
        <v>36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20</v>
      </c>
      <c r="M261" t="s">
        <v>21</v>
      </c>
      <c r="N261">
        <f t="shared" si="8"/>
        <v>6.7234398994834563E-2</v>
      </c>
      <c r="O261">
        <f t="shared" si="9"/>
        <v>0.18531784517185629</v>
      </c>
    </row>
    <row r="262" spans="1:15" x14ac:dyDescent="0.3">
      <c r="A262" t="s">
        <v>297</v>
      </c>
      <c r="B262" t="s">
        <v>17</v>
      </c>
      <c r="C262" s="1">
        <v>45489</v>
      </c>
      <c r="D262" t="s">
        <v>24</v>
      </c>
      <c r="E262" t="s">
        <v>25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20</v>
      </c>
      <c r="M262" t="s">
        <v>38</v>
      </c>
      <c r="N262">
        <f t="shared" si="8"/>
        <v>7.2579365079365077E-2</v>
      </c>
      <c r="O262">
        <f t="shared" si="9"/>
        <v>0.13739368723551609</v>
      </c>
    </row>
    <row r="263" spans="1:15" x14ac:dyDescent="0.3">
      <c r="A263" t="s">
        <v>298</v>
      </c>
      <c r="B263" t="s">
        <v>30</v>
      </c>
      <c r="C263" s="1">
        <v>45712</v>
      </c>
      <c r="D263" t="s">
        <v>24</v>
      </c>
      <c r="E263" t="s">
        <v>78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20</v>
      </c>
      <c r="N263">
        <f t="shared" si="8"/>
        <v>0.25062082139446035</v>
      </c>
      <c r="O263">
        <f t="shared" si="9"/>
        <v>0.13298735096853673</v>
      </c>
    </row>
    <row r="264" spans="1:15" x14ac:dyDescent="0.3">
      <c r="A264" t="s">
        <v>299</v>
      </c>
      <c r="B264" t="s">
        <v>17</v>
      </c>
      <c r="C264" s="1">
        <v>45530</v>
      </c>
      <c r="D264" t="s">
        <v>42</v>
      </c>
      <c r="E264" t="s">
        <v>45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37</v>
      </c>
      <c r="M264" t="s">
        <v>32</v>
      </c>
      <c r="N264">
        <f t="shared" si="8"/>
        <v>8.6293505561535699E-2</v>
      </c>
      <c r="O264">
        <f t="shared" si="9"/>
        <v>0.13739368723551609</v>
      </c>
    </row>
    <row r="265" spans="1:15" x14ac:dyDescent="0.3">
      <c r="A265" t="s">
        <v>299</v>
      </c>
      <c r="B265" t="s">
        <v>17</v>
      </c>
      <c r="C265" s="1">
        <v>45530</v>
      </c>
      <c r="D265" t="s">
        <v>42</v>
      </c>
      <c r="E265" t="s">
        <v>45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26</v>
      </c>
      <c r="M265" t="s">
        <v>32</v>
      </c>
      <c r="N265">
        <f t="shared" si="8"/>
        <v>8.6293505561535699E-2</v>
      </c>
      <c r="O265">
        <f t="shared" si="9"/>
        <v>0.13739368723551609</v>
      </c>
    </row>
    <row r="266" spans="1:15" x14ac:dyDescent="0.3">
      <c r="A266" t="s">
        <v>299</v>
      </c>
      <c r="B266" t="s">
        <v>17</v>
      </c>
      <c r="C266" s="1">
        <v>45530</v>
      </c>
      <c r="D266" t="s">
        <v>42</v>
      </c>
      <c r="E266" t="s">
        <v>45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22</v>
      </c>
      <c r="M266" t="s">
        <v>32</v>
      </c>
      <c r="N266">
        <f t="shared" si="8"/>
        <v>8.6293505561535699E-2</v>
      </c>
      <c r="O266">
        <f t="shared" si="9"/>
        <v>0.13739368723551609</v>
      </c>
    </row>
    <row r="267" spans="1:15" x14ac:dyDescent="0.3">
      <c r="A267" t="s">
        <v>300</v>
      </c>
      <c r="B267" t="s">
        <v>41</v>
      </c>
      <c r="C267" s="1">
        <v>45675</v>
      </c>
      <c r="D267" t="s">
        <v>35</v>
      </c>
      <c r="E267" t="s">
        <v>59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26</v>
      </c>
      <c r="M267" t="s">
        <v>38</v>
      </c>
      <c r="N267">
        <f t="shared" si="8"/>
        <v>0.17743908486792079</v>
      </c>
      <c r="O267">
        <f t="shared" si="9"/>
        <v>0.12094203382654924</v>
      </c>
    </row>
    <row r="268" spans="1:15" x14ac:dyDescent="0.3">
      <c r="A268" t="s">
        <v>301</v>
      </c>
      <c r="B268" t="s">
        <v>41</v>
      </c>
      <c r="C268" s="1">
        <v>45480</v>
      </c>
      <c r="D268" t="s">
        <v>18</v>
      </c>
      <c r="E268" t="s">
        <v>55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37</v>
      </c>
      <c r="M268" t="s">
        <v>32</v>
      </c>
      <c r="N268">
        <f t="shared" si="8"/>
        <v>0.18519683938186141</v>
      </c>
      <c r="O268">
        <f t="shared" si="9"/>
        <v>0.12094203382654924</v>
      </c>
    </row>
    <row r="269" spans="1:15" x14ac:dyDescent="0.3">
      <c r="A269" t="s">
        <v>302</v>
      </c>
      <c r="B269" t="s">
        <v>17</v>
      </c>
      <c r="C269" s="1">
        <v>45722</v>
      </c>
      <c r="D269" t="s">
        <v>47</v>
      </c>
      <c r="E269" t="s">
        <v>93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20</v>
      </c>
      <c r="M269" t="s">
        <v>38</v>
      </c>
      <c r="N269">
        <f t="shared" si="8"/>
        <v>9.7001272669424113E-2</v>
      </c>
      <c r="O269">
        <f t="shared" si="9"/>
        <v>0.13739368723551609</v>
      </c>
    </row>
    <row r="270" spans="1:15" x14ac:dyDescent="0.3">
      <c r="A270" t="s">
        <v>303</v>
      </c>
      <c r="B270" t="s">
        <v>30</v>
      </c>
      <c r="C270" s="1">
        <v>45590</v>
      </c>
      <c r="D270" t="s">
        <v>61</v>
      </c>
      <c r="E270" t="s">
        <v>141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20</v>
      </c>
      <c r="M270" t="s">
        <v>32</v>
      </c>
      <c r="N270">
        <f t="shared" si="8"/>
        <v>0.25869984981763572</v>
      </c>
      <c r="O270">
        <f t="shared" si="9"/>
        <v>0.13298735096853673</v>
      </c>
    </row>
    <row r="271" spans="1:15" x14ac:dyDescent="0.3">
      <c r="A271" t="s">
        <v>304</v>
      </c>
      <c r="B271" t="s">
        <v>41</v>
      </c>
      <c r="C271" s="1">
        <v>45669</v>
      </c>
      <c r="D271" t="s">
        <v>18</v>
      </c>
      <c r="E271" t="s">
        <v>55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37</v>
      </c>
      <c r="M271" t="s">
        <v>21</v>
      </c>
      <c r="N271">
        <f t="shared" si="8"/>
        <v>0.12232704402515723</v>
      </c>
      <c r="O271">
        <f t="shared" si="9"/>
        <v>0.12094203382654924</v>
      </c>
    </row>
    <row r="272" spans="1:15" x14ac:dyDescent="0.3">
      <c r="A272" t="s">
        <v>305</v>
      </c>
      <c r="B272" t="s">
        <v>41</v>
      </c>
      <c r="C272" s="1">
        <v>45576</v>
      </c>
      <c r="D272" t="s">
        <v>47</v>
      </c>
      <c r="E272" t="s">
        <v>52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20</v>
      </c>
      <c r="M272" t="s">
        <v>27</v>
      </c>
      <c r="N272">
        <f t="shared" si="8"/>
        <v>0.23656250000000001</v>
      </c>
      <c r="O272">
        <f t="shared" si="9"/>
        <v>0.12094203382654924</v>
      </c>
    </row>
    <row r="273" spans="1:15" x14ac:dyDescent="0.3">
      <c r="A273" t="s">
        <v>306</v>
      </c>
      <c r="B273" t="s">
        <v>41</v>
      </c>
      <c r="C273" s="1">
        <v>45531</v>
      </c>
      <c r="D273" t="s">
        <v>18</v>
      </c>
      <c r="E273" t="s">
        <v>55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20</v>
      </c>
      <c r="N273">
        <f t="shared" si="8"/>
        <v>0.11879910213243547</v>
      </c>
      <c r="O273">
        <f t="shared" si="9"/>
        <v>0.12094203382654924</v>
      </c>
    </row>
    <row r="274" spans="1:15" x14ac:dyDescent="0.3">
      <c r="A274" t="s">
        <v>306</v>
      </c>
      <c r="B274" t="s">
        <v>41</v>
      </c>
      <c r="C274" s="1">
        <v>45531</v>
      </c>
      <c r="D274" t="s">
        <v>18</v>
      </c>
      <c r="E274" t="s">
        <v>55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37</v>
      </c>
      <c r="N274">
        <f t="shared" si="8"/>
        <v>0.11879910213243547</v>
      </c>
      <c r="O274">
        <f t="shared" si="9"/>
        <v>0.12094203382654924</v>
      </c>
    </row>
    <row r="275" spans="1:15" x14ac:dyDescent="0.3">
      <c r="A275" t="s">
        <v>306</v>
      </c>
      <c r="B275" t="s">
        <v>41</v>
      </c>
      <c r="C275" s="1">
        <v>45531</v>
      </c>
      <c r="D275" t="s">
        <v>18</v>
      </c>
      <c r="E275" t="s">
        <v>55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28</v>
      </c>
      <c r="N275">
        <f t="shared" si="8"/>
        <v>0.11879910213243547</v>
      </c>
      <c r="O275">
        <f t="shared" si="9"/>
        <v>0.12094203382654924</v>
      </c>
    </row>
    <row r="276" spans="1:15" x14ac:dyDescent="0.3">
      <c r="A276" t="s">
        <v>307</v>
      </c>
      <c r="B276" t="s">
        <v>41</v>
      </c>
      <c r="C276" s="1">
        <v>45690</v>
      </c>
      <c r="D276" t="s">
        <v>35</v>
      </c>
      <c r="E276" t="s">
        <v>59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37</v>
      </c>
      <c r="N276">
        <f t="shared" si="8"/>
        <v>0.26297968397291194</v>
      </c>
      <c r="O276">
        <f t="shared" si="9"/>
        <v>0.12094203382654924</v>
      </c>
    </row>
    <row r="277" spans="1:15" x14ac:dyDescent="0.3">
      <c r="A277" t="s">
        <v>308</v>
      </c>
      <c r="B277" t="s">
        <v>17</v>
      </c>
      <c r="C277" s="1">
        <v>45491</v>
      </c>
      <c r="D277" t="s">
        <v>47</v>
      </c>
      <c r="E277" t="s">
        <v>93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37</v>
      </c>
      <c r="M277" t="s">
        <v>27</v>
      </c>
      <c r="N277">
        <f t="shared" si="8"/>
        <v>8.7733440816874911E-2</v>
      </c>
      <c r="O277">
        <f t="shared" si="9"/>
        <v>0.13739368723551609</v>
      </c>
    </row>
    <row r="278" spans="1:15" x14ac:dyDescent="0.3">
      <c r="A278" t="s">
        <v>309</v>
      </c>
      <c r="B278" t="s">
        <v>41</v>
      </c>
      <c r="C278" s="1">
        <v>45465</v>
      </c>
      <c r="D278" t="s">
        <v>18</v>
      </c>
      <c r="E278" t="s">
        <v>55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20</v>
      </c>
      <c r="N278">
        <f t="shared" si="8"/>
        <v>7.3170731707317069E-2</v>
      </c>
      <c r="O278">
        <f t="shared" si="9"/>
        <v>0.12094203382654924</v>
      </c>
    </row>
    <row r="279" spans="1:15" x14ac:dyDescent="0.3">
      <c r="A279" t="s">
        <v>310</v>
      </c>
      <c r="B279" t="s">
        <v>34</v>
      </c>
      <c r="C279" s="1">
        <v>45743</v>
      </c>
      <c r="D279" t="s">
        <v>42</v>
      </c>
      <c r="E279" t="s">
        <v>70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20</v>
      </c>
      <c r="N279">
        <f t="shared" si="8"/>
        <v>0.11619462599854757</v>
      </c>
      <c r="O279">
        <f t="shared" si="9"/>
        <v>0.18531784517185629</v>
      </c>
    </row>
    <row r="280" spans="1:15" x14ac:dyDescent="0.3">
      <c r="A280" t="s">
        <v>311</v>
      </c>
      <c r="B280" t="s">
        <v>41</v>
      </c>
      <c r="C280" s="1">
        <v>45775</v>
      </c>
      <c r="D280" t="s">
        <v>42</v>
      </c>
      <c r="E280" t="s">
        <v>43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20</v>
      </c>
      <c r="M280" t="s">
        <v>32</v>
      </c>
      <c r="N280">
        <f t="shared" si="8"/>
        <v>0.15761129727142173</v>
      </c>
      <c r="O280">
        <f t="shared" si="9"/>
        <v>0.12094203382654924</v>
      </c>
    </row>
    <row r="281" spans="1:15" x14ac:dyDescent="0.3">
      <c r="A281" t="s">
        <v>312</v>
      </c>
      <c r="B281" t="s">
        <v>17</v>
      </c>
      <c r="C281" s="1">
        <v>45507</v>
      </c>
      <c r="D281" t="s">
        <v>18</v>
      </c>
      <c r="E281" t="s">
        <v>19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37</v>
      </c>
      <c r="N281">
        <f t="shared" si="8"/>
        <v>8.6897539284772202E-2</v>
      </c>
      <c r="O281">
        <f t="shared" si="9"/>
        <v>0.13739368723551609</v>
      </c>
    </row>
    <row r="282" spans="1:15" x14ac:dyDescent="0.3">
      <c r="A282" t="s">
        <v>313</v>
      </c>
      <c r="B282" t="s">
        <v>17</v>
      </c>
      <c r="C282" s="1">
        <v>45671</v>
      </c>
      <c r="D282" t="s">
        <v>47</v>
      </c>
      <c r="E282" t="s">
        <v>93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20</v>
      </c>
      <c r="M282" t="s">
        <v>27</v>
      </c>
      <c r="N282">
        <f t="shared" si="8"/>
        <v>0.13331166419019316</v>
      </c>
      <c r="O282">
        <f t="shared" si="9"/>
        <v>0.13739368723551609</v>
      </c>
    </row>
    <row r="283" spans="1:15" x14ac:dyDescent="0.3">
      <c r="A283" t="s">
        <v>314</v>
      </c>
      <c r="B283" t="s">
        <v>41</v>
      </c>
      <c r="C283" s="1">
        <v>45750</v>
      </c>
      <c r="D283" t="s">
        <v>35</v>
      </c>
      <c r="E283" t="s">
        <v>59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20</v>
      </c>
      <c r="M283" t="s">
        <v>38</v>
      </c>
      <c r="N283">
        <f t="shared" si="8"/>
        <v>0.11996283514733209</v>
      </c>
      <c r="O283">
        <f t="shared" si="9"/>
        <v>0.12094203382654924</v>
      </c>
    </row>
    <row r="284" spans="1:15" x14ac:dyDescent="0.3">
      <c r="A284" t="s">
        <v>315</v>
      </c>
      <c r="B284" t="s">
        <v>30</v>
      </c>
      <c r="C284" s="1">
        <v>45553</v>
      </c>
      <c r="D284" t="s">
        <v>42</v>
      </c>
      <c r="E284" t="s">
        <v>57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37</v>
      </c>
      <c r="M284" t="s">
        <v>27</v>
      </c>
      <c r="N284">
        <f t="shared" si="8"/>
        <v>5.7936488444630008E-2</v>
      </c>
      <c r="O284">
        <f t="shared" si="9"/>
        <v>0.13298735096853673</v>
      </c>
    </row>
    <row r="285" spans="1:15" x14ac:dyDescent="0.3">
      <c r="A285" t="s">
        <v>316</v>
      </c>
      <c r="B285" t="s">
        <v>41</v>
      </c>
      <c r="C285" s="1">
        <v>45753</v>
      </c>
      <c r="D285" t="s">
        <v>47</v>
      </c>
      <c r="E285" t="s">
        <v>52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37</v>
      </c>
      <c r="M285" t="s">
        <v>27</v>
      </c>
      <c r="N285">
        <f t="shared" si="8"/>
        <v>7.9915048543689318E-2</v>
      </c>
      <c r="O285">
        <f t="shared" si="9"/>
        <v>0.12094203382654924</v>
      </c>
    </row>
    <row r="286" spans="1:15" x14ac:dyDescent="0.3">
      <c r="A286" t="s">
        <v>316</v>
      </c>
      <c r="B286" t="s">
        <v>41</v>
      </c>
      <c r="C286" s="1">
        <v>45753</v>
      </c>
      <c r="D286" t="s">
        <v>47</v>
      </c>
      <c r="E286" t="s">
        <v>52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37</v>
      </c>
      <c r="M286" t="s">
        <v>27</v>
      </c>
      <c r="N286">
        <f t="shared" si="8"/>
        <v>7.9915048543689318E-2</v>
      </c>
      <c r="O286">
        <f t="shared" si="9"/>
        <v>0.12094203382654924</v>
      </c>
    </row>
    <row r="287" spans="1:15" x14ac:dyDescent="0.3">
      <c r="A287" t="s">
        <v>316</v>
      </c>
      <c r="B287" t="s">
        <v>41</v>
      </c>
      <c r="C287" s="1">
        <v>45753</v>
      </c>
      <c r="D287" t="s">
        <v>47</v>
      </c>
      <c r="E287" t="s">
        <v>52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28</v>
      </c>
      <c r="M287" t="s">
        <v>27</v>
      </c>
      <c r="N287">
        <f t="shared" si="8"/>
        <v>7.9915048543689318E-2</v>
      </c>
      <c r="O287">
        <f t="shared" si="9"/>
        <v>0.12094203382654924</v>
      </c>
    </row>
    <row r="288" spans="1:15" x14ac:dyDescent="0.3">
      <c r="A288" t="s">
        <v>317</v>
      </c>
      <c r="B288" t="s">
        <v>34</v>
      </c>
      <c r="C288" s="1">
        <v>45509</v>
      </c>
      <c r="D288" t="s">
        <v>35</v>
      </c>
      <c r="E288" t="s">
        <v>36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37</v>
      </c>
      <c r="M288" t="s">
        <v>27</v>
      </c>
      <c r="N288">
        <f t="shared" si="8"/>
        <v>0.2023049153013052</v>
      </c>
      <c r="O288">
        <f t="shared" si="9"/>
        <v>0.18531784517185629</v>
      </c>
    </row>
    <row r="289" spans="1:15" x14ac:dyDescent="0.3">
      <c r="A289" t="s">
        <v>318</v>
      </c>
      <c r="B289" t="s">
        <v>41</v>
      </c>
      <c r="C289" s="1">
        <v>45698</v>
      </c>
      <c r="D289" t="s">
        <v>24</v>
      </c>
      <c r="E289" t="s">
        <v>50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26</v>
      </c>
      <c r="M289" t="s">
        <v>21</v>
      </c>
      <c r="N289">
        <f t="shared" si="8"/>
        <v>0.25771055753262156</v>
      </c>
      <c r="O289">
        <f t="shared" si="9"/>
        <v>0.12094203382654924</v>
      </c>
    </row>
    <row r="290" spans="1:15" x14ac:dyDescent="0.3">
      <c r="A290" t="s">
        <v>319</v>
      </c>
      <c r="B290" t="s">
        <v>34</v>
      </c>
      <c r="C290" s="1">
        <v>45700</v>
      </c>
      <c r="D290" t="s">
        <v>35</v>
      </c>
      <c r="E290" t="s">
        <v>36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26</v>
      </c>
      <c r="M290" t="s">
        <v>32</v>
      </c>
      <c r="N290">
        <f t="shared" si="8"/>
        <v>8.7752275425405618E-2</v>
      </c>
      <c r="O290">
        <f t="shared" si="9"/>
        <v>0.18531784517185629</v>
      </c>
    </row>
    <row r="291" spans="1:15" x14ac:dyDescent="0.3">
      <c r="A291" t="s">
        <v>319</v>
      </c>
      <c r="B291" t="s">
        <v>34</v>
      </c>
      <c r="C291" s="1">
        <v>45700</v>
      </c>
      <c r="D291" t="s">
        <v>35</v>
      </c>
      <c r="E291" t="s">
        <v>36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37</v>
      </c>
      <c r="M291" t="s">
        <v>32</v>
      </c>
      <c r="N291">
        <f t="shared" si="8"/>
        <v>8.7752275425405618E-2</v>
      </c>
      <c r="O291">
        <f t="shared" si="9"/>
        <v>0.18531784517185629</v>
      </c>
    </row>
    <row r="292" spans="1:15" x14ac:dyDescent="0.3">
      <c r="A292" t="s">
        <v>319</v>
      </c>
      <c r="B292" t="s">
        <v>34</v>
      </c>
      <c r="C292" s="1">
        <v>45700</v>
      </c>
      <c r="D292" t="s">
        <v>35</v>
      </c>
      <c r="E292" t="s">
        <v>36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28</v>
      </c>
      <c r="M292" t="s">
        <v>32</v>
      </c>
      <c r="N292">
        <f t="shared" si="8"/>
        <v>8.7752275425405618E-2</v>
      </c>
      <c r="O292">
        <f t="shared" si="9"/>
        <v>0.18531784517185629</v>
      </c>
    </row>
    <row r="293" spans="1:15" x14ac:dyDescent="0.3">
      <c r="A293" t="s">
        <v>320</v>
      </c>
      <c r="B293" t="s">
        <v>34</v>
      </c>
      <c r="C293" s="1">
        <v>45592</v>
      </c>
      <c r="D293" t="s">
        <v>47</v>
      </c>
      <c r="E293" t="s">
        <v>139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37</v>
      </c>
      <c r="M293" t="s">
        <v>21</v>
      </c>
      <c r="N293">
        <f t="shared" si="8"/>
        <v>8.2835359571399134E-2</v>
      </c>
      <c r="O293">
        <f t="shared" si="9"/>
        <v>0.18531784517185629</v>
      </c>
    </row>
    <row r="294" spans="1:15" x14ac:dyDescent="0.3">
      <c r="A294" t="s">
        <v>321</v>
      </c>
      <c r="B294" t="s">
        <v>30</v>
      </c>
      <c r="C294" s="1">
        <v>45675</v>
      </c>
      <c r="D294" t="s">
        <v>47</v>
      </c>
      <c r="E294" t="s">
        <v>48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26</v>
      </c>
      <c r="N294">
        <f t="shared" si="8"/>
        <v>0.15339966832504145</v>
      </c>
      <c r="O294">
        <f t="shared" si="9"/>
        <v>0.13298735096853673</v>
      </c>
    </row>
    <row r="295" spans="1:15" x14ac:dyDescent="0.3">
      <c r="A295" t="s">
        <v>322</v>
      </c>
      <c r="B295" t="s">
        <v>34</v>
      </c>
      <c r="C295" s="1">
        <v>45524</v>
      </c>
      <c r="D295" t="s">
        <v>18</v>
      </c>
      <c r="E295" t="s">
        <v>66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20</v>
      </c>
      <c r="M295" t="s">
        <v>27</v>
      </c>
      <c r="N295">
        <f t="shared" si="8"/>
        <v>0.26876680752977333</v>
      </c>
      <c r="O295">
        <f t="shared" si="9"/>
        <v>0.18531784517185629</v>
      </c>
    </row>
    <row r="296" spans="1:15" x14ac:dyDescent="0.3">
      <c r="A296" t="s">
        <v>323</v>
      </c>
      <c r="B296" t="s">
        <v>17</v>
      </c>
      <c r="C296" s="1">
        <v>45687</v>
      </c>
      <c r="D296" t="s">
        <v>47</v>
      </c>
      <c r="E296" t="s">
        <v>93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26</v>
      </c>
      <c r="M296" t="s">
        <v>27</v>
      </c>
      <c r="N296">
        <f t="shared" si="8"/>
        <v>0.53389830508474578</v>
      </c>
      <c r="O296">
        <f t="shared" si="9"/>
        <v>0.13739368723551609</v>
      </c>
    </row>
    <row r="297" spans="1:15" x14ac:dyDescent="0.3">
      <c r="A297" t="s">
        <v>324</v>
      </c>
      <c r="B297" t="s">
        <v>17</v>
      </c>
      <c r="C297" s="1">
        <v>45708</v>
      </c>
      <c r="D297" t="s">
        <v>42</v>
      </c>
      <c r="E297" t="s">
        <v>45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37</v>
      </c>
      <c r="M297" t="s">
        <v>38</v>
      </c>
      <c r="N297">
        <f t="shared" si="8"/>
        <v>0.25279701651571657</v>
      </c>
      <c r="O297">
        <f t="shared" si="9"/>
        <v>0.13739368723551609</v>
      </c>
    </row>
    <row r="298" spans="1:15" x14ac:dyDescent="0.3">
      <c r="A298" t="s">
        <v>325</v>
      </c>
      <c r="B298" t="s">
        <v>41</v>
      </c>
      <c r="C298" s="1">
        <v>45621</v>
      </c>
      <c r="D298" t="s">
        <v>35</v>
      </c>
      <c r="E298" t="s">
        <v>59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26</v>
      </c>
      <c r="M298" t="s">
        <v>32</v>
      </c>
      <c r="N298">
        <f t="shared" si="8"/>
        <v>0.10086880280567512</v>
      </c>
      <c r="O298">
        <f t="shared" si="9"/>
        <v>0.12094203382654924</v>
      </c>
    </row>
    <row r="299" spans="1:15" x14ac:dyDescent="0.3">
      <c r="A299" t="s">
        <v>326</v>
      </c>
      <c r="B299" t="s">
        <v>17</v>
      </c>
      <c r="C299" s="1">
        <v>45569</v>
      </c>
      <c r="D299" t="s">
        <v>18</v>
      </c>
      <c r="E299" t="s">
        <v>19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20</v>
      </c>
      <c r="N299">
        <f t="shared" si="8"/>
        <v>6.3947934081681396E-2</v>
      </c>
      <c r="O299">
        <f t="shared" si="9"/>
        <v>0.13739368723551609</v>
      </c>
    </row>
    <row r="300" spans="1:15" x14ac:dyDescent="0.3">
      <c r="A300" t="s">
        <v>327</v>
      </c>
      <c r="B300" t="s">
        <v>34</v>
      </c>
      <c r="C300" s="1">
        <v>45760</v>
      </c>
      <c r="D300" t="s">
        <v>18</v>
      </c>
      <c r="E300" t="s">
        <v>66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37</v>
      </c>
      <c r="M300" t="s">
        <v>21</v>
      </c>
      <c r="N300">
        <f t="shared" si="8"/>
        <v>8.4062694239588759E-2</v>
      </c>
      <c r="O300">
        <f t="shared" si="9"/>
        <v>0.18531784517185629</v>
      </c>
    </row>
    <row r="301" spans="1:15" x14ac:dyDescent="0.3">
      <c r="A301" t="s">
        <v>328</v>
      </c>
      <c r="B301" t="s">
        <v>34</v>
      </c>
      <c r="C301" s="1">
        <v>45601</v>
      </c>
      <c r="D301" t="s">
        <v>61</v>
      </c>
      <c r="E301" t="s">
        <v>68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26</v>
      </c>
      <c r="M301" t="s">
        <v>27</v>
      </c>
      <c r="N301">
        <f t="shared" si="8"/>
        <v>0.22157421618066214</v>
      </c>
      <c r="O301">
        <f t="shared" si="9"/>
        <v>0.18531784517185629</v>
      </c>
    </row>
    <row r="302" spans="1:15" x14ac:dyDescent="0.3">
      <c r="A302" t="s">
        <v>329</v>
      </c>
      <c r="B302" t="s">
        <v>30</v>
      </c>
      <c r="C302" s="1">
        <v>45672</v>
      </c>
      <c r="D302" t="s">
        <v>18</v>
      </c>
      <c r="E302" t="s">
        <v>31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26</v>
      </c>
      <c r="M302" t="s">
        <v>32</v>
      </c>
      <c r="N302">
        <f t="shared" si="8"/>
        <v>6.7103868574456813E-2</v>
      </c>
      <c r="O302">
        <f t="shared" si="9"/>
        <v>0.13298735096853673</v>
      </c>
    </row>
    <row r="303" spans="1:15" x14ac:dyDescent="0.3">
      <c r="A303" t="s">
        <v>330</v>
      </c>
      <c r="B303" t="s">
        <v>34</v>
      </c>
      <c r="C303" s="1">
        <v>45582</v>
      </c>
      <c r="D303" t="s">
        <v>61</v>
      </c>
      <c r="E303" t="s">
        <v>68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37</v>
      </c>
      <c r="M303" t="s">
        <v>27</v>
      </c>
      <c r="N303">
        <f t="shared" si="8"/>
        <v>0.20675990675990677</v>
      </c>
      <c r="O303">
        <f t="shared" si="9"/>
        <v>0.18531784517185629</v>
      </c>
    </row>
    <row r="304" spans="1:15" x14ac:dyDescent="0.3">
      <c r="A304" t="s">
        <v>331</v>
      </c>
      <c r="B304" t="s">
        <v>34</v>
      </c>
      <c r="C304" s="1">
        <v>45743</v>
      </c>
      <c r="D304" t="s">
        <v>24</v>
      </c>
      <c r="E304" t="s">
        <v>83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26</v>
      </c>
      <c r="M304" t="s">
        <v>32</v>
      </c>
      <c r="N304">
        <f t="shared" si="8"/>
        <v>0.14220299534507186</v>
      </c>
      <c r="O304">
        <f t="shared" si="9"/>
        <v>0.18531784517185629</v>
      </c>
    </row>
    <row r="305" spans="1:15" x14ac:dyDescent="0.3">
      <c r="A305" t="s">
        <v>332</v>
      </c>
      <c r="B305" t="s">
        <v>30</v>
      </c>
      <c r="C305" s="1">
        <v>45577</v>
      </c>
      <c r="D305" t="s">
        <v>35</v>
      </c>
      <c r="E305" t="s">
        <v>106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37</v>
      </c>
      <c r="M305" t="s">
        <v>38</v>
      </c>
      <c r="N305">
        <f t="shared" si="8"/>
        <v>9.7700431949264685E-2</v>
      </c>
      <c r="O305">
        <f t="shared" si="9"/>
        <v>0.13298735096853673</v>
      </c>
    </row>
    <row r="306" spans="1:15" x14ac:dyDescent="0.3">
      <c r="A306" t="s">
        <v>333</v>
      </c>
      <c r="B306" t="s">
        <v>17</v>
      </c>
      <c r="C306" s="1">
        <v>45658</v>
      </c>
      <c r="D306" t="s">
        <v>42</v>
      </c>
      <c r="E306" t="s">
        <v>45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26</v>
      </c>
      <c r="M306" t="s">
        <v>38</v>
      </c>
      <c r="N306">
        <f t="shared" si="8"/>
        <v>7.8849599245638849E-2</v>
      </c>
      <c r="O306">
        <f t="shared" si="9"/>
        <v>0.13739368723551609</v>
      </c>
    </row>
    <row r="307" spans="1:15" x14ac:dyDescent="0.3">
      <c r="A307" t="s">
        <v>334</v>
      </c>
      <c r="B307" t="s">
        <v>41</v>
      </c>
      <c r="C307" s="1">
        <v>45509</v>
      </c>
      <c r="D307" t="s">
        <v>18</v>
      </c>
      <c r="E307" t="s">
        <v>55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37</v>
      </c>
      <c r="M307" t="s">
        <v>32</v>
      </c>
      <c r="N307">
        <f t="shared" si="8"/>
        <v>0.16754738655944859</v>
      </c>
      <c r="O307">
        <f t="shared" si="9"/>
        <v>0.12094203382654924</v>
      </c>
    </row>
    <row r="308" spans="1:15" x14ac:dyDescent="0.3">
      <c r="A308" t="s">
        <v>335</v>
      </c>
      <c r="B308" t="s">
        <v>17</v>
      </c>
      <c r="C308" s="1">
        <v>45450</v>
      </c>
      <c r="D308" t="s">
        <v>42</v>
      </c>
      <c r="E308" t="s">
        <v>45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26</v>
      </c>
      <c r="M308" t="s">
        <v>27</v>
      </c>
      <c r="N308">
        <f t="shared" si="8"/>
        <v>0.2015852613538989</v>
      </c>
      <c r="O308">
        <f t="shared" si="9"/>
        <v>0.13739368723551609</v>
      </c>
    </row>
    <row r="309" spans="1:15" x14ac:dyDescent="0.3">
      <c r="A309" t="s">
        <v>336</v>
      </c>
      <c r="B309" t="s">
        <v>41</v>
      </c>
      <c r="C309" s="1">
        <v>45753</v>
      </c>
      <c r="D309" t="s">
        <v>47</v>
      </c>
      <c r="E309" t="s">
        <v>52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20</v>
      </c>
      <c r="M309" t="s">
        <v>21</v>
      </c>
      <c r="N309">
        <f t="shared" si="8"/>
        <v>0.24763928234183191</v>
      </c>
      <c r="O309">
        <f t="shared" si="9"/>
        <v>0.12094203382654924</v>
      </c>
    </row>
    <row r="310" spans="1:15" x14ac:dyDescent="0.3">
      <c r="A310" t="s">
        <v>337</v>
      </c>
      <c r="B310" t="s">
        <v>17</v>
      </c>
      <c r="C310" s="1">
        <v>45622</v>
      </c>
      <c r="D310" t="s">
        <v>24</v>
      </c>
      <c r="E310" t="s">
        <v>25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37</v>
      </c>
      <c r="M310" t="s">
        <v>38</v>
      </c>
      <c r="N310">
        <f t="shared" si="8"/>
        <v>0.11114018842096787</v>
      </c>
      <c r="O310">
        <f t="shared" si="9"/>
        <v>0.13739368723551609</v>
      </c>
    </row>
    <row r="311" spans="1:15" x14ac:dyDescent="0.3">
      <c r="A311" t="s">
        <v>338</v>
      </c>
      <c r="B311" t="s">
        <v>30</v>
      </c>
      <c r="C311" s="1">
        <v>45537</v>
      </c>
      <c r="D311" t="s">
        <v>47</v>
      </c>
      <c r="E311" t="s">
        <v>48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26</v>
      </c>
      <c r="M311" t="s">
        <v>27</v>
      </c>
      <c r="N311">
        <f t="shared" si="8"/>
        <v>5.9928644240570844E-2</v>
      </c>
      <c r="O311">
        <f t="shared" si="9"/>
        <v>0.13298735096853673</v>
      </c>
    </row>
    <row r="312" spans="1:15" x14ac:dyDescent="0.3">
      <c r="A312" t="s">
        <v>339</v>
      </c>
      <c r="B312" t="s">
        <v>30</v>
      </c>
      <c r="C312" s="1">
        <v>45586</v>
      </c>
      <c r="D312" t="s">
        <v>61</v>
      </c>
      <c r="E312" t="s">
        <v>141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37</v>
      </c>
      <c r="M312" t="s">
        <v>38</v>
      </c>
      <c r="N312">
        <f t="shared" si="8"/>
        <v>8.3274853801169585E-2</v>
      </c>
      <c r="O312">
        <f t="shared" si="9"/>
        <v>0.13298735096853673</v>
      </c>
    </row>
    <row r="313" spans="1:15" x14ac:dyDescent="0.3">
      <c r="A313" t="s">
        <v>339</v>
      </c>
      <c r="B313" t="s">
        <v>30</v>
      </c>
      <c r="C313" s="1">
        <v>45586</v>
      </c>
      <c r="D313" t="s">
        <v>61</v>
      </c>
      <c r="E313" t="s">
        <v>141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26</v>
      </c>
      <c r="M313" t="s">
        <v>38</v>
      </c>
      <c r="N313">
        <f t="shared" si="8"/>
        <v>8.3274853801169585E-2</v>
      </c>
      <c r="O313">
        <f t="shared" si="9"/>
        <v>0.13298735096853673</v>
      </c>
    </row>
    <row r="314" spans="1:15" x14ac:dyDescent="0.3">
      <c r="A314" t="s">
        <v>339</v>
      </c>
      <c r="B314" t="s">
        <v>30</v>
      </c>
      <c r="C314" s="1">
        <v>45586</v>
      </c>
      <c r="D314" t="s">
        <v>61</v>
      </c>
      <c r="E314" t="s">
        <v>141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22</v>
      </c>
      <c r="M314" t="s">
        <v>38</v>
      </c>
      <c r="N314">
        <f t="shared" si="8"/>
        <v>8.3274853801169585E-2</v>
      </c>
      <c r="O314">
        <f t="shared" si="9"/>
        <v>0.13298735096853673</v>
      </c>
    </row>
    <row r="315" spans="1:15" x14ac:dyDescent="0.3">
      <c r="A315" t="s">
        <v>340</v>
      </c>
      <c r="B315" t="s">
        <v>30</v>
      </c>
      <c r="C315" s="1">
        <v>45738</v>
      </c>
      <c r="D315" t="s">
        <v>47</v>
      </c>
      <c r="E315" t="s">
        <v>48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37</v>
      </c>
      <c r="M315" t="s">
        <v>27</v>
      </c>
      <c r="N315">
        <f t="shared" si="8"/>
        <v>6.3118551273952411E-2</v>
      </c>
      <c r="O315">
        <f t="shared" si="9"/>
        <v>0.13298735096853673</v>
      </c>
    </row>
    <row r="316" spans="1:15" x14ac:dyDescent="0.3">
      <c r="A316" t="s">
        <v>341</v>
      </c>
      <c r="B316" t="s">
        <v>34</v>
      </c>
      <c r="C316" s="1">
        <v>45568</v>
      </c>
      <c r="D316" t="s">
        <v>61</v>
      </c>
      <c r="E316" t="s">
        <v>68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20</v>
      </c>
      <c r="M316" t="s">
        <v>32</v>
      </c>
      <c r="N316">
        <f t="shared" si="8"/>
        <v>0.1071650124069479</v>
      </c>
      <c r="O316">
        <f t="shared" si="9"/>
        <v>0.18531784517185629</v>
      </c>
    </row>
    <row r="317" spans="1:15" x14ac:dyDescent="0.3">
      <c r="A317" t="s">
        <v>342</v>
      </c>
      <c r="B317" t="s">
        <v>17</v>
      </c>
      <c r="C317" s="1">
        <v>45786</v>
      </c>
      <c r="D317" t="s">
        <v>18</v>
      </c>
      <c r="E317" t="s">
        <v>19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20</v>
      </c>
      <c r="M317" t="s">
        <v>27</v>
      </c>
      <c r="N317">
        <f t="shared" si="8"/>
        <v>5.8243321401216137E-2</v>
      </c>
      <c r="O317">
        <f t="shared" si="9"/>
        <v>0.13739368723551609</v>
      </c>
    </row>
    <row r="318" spans="1:15" x14ac:dyDescent="0.3">
      <c r="A318" t="s">
        <v>343</v>
      </c>
      <c r="B318" t="s">
        <v>17</v>
      </c>
      <c r="C318" s="1">
        <v>45552</v>
      </c>
      <c r="D318" t="s">
        <v>24</v>
      </c>
      <c r="E318" t="s">
        <v>25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26</v>
      </c>
      <c r="M318" t="s">
        <v>38</v>
      </c>
      <c r="N318">
        <f t="shared" si="8"/>
        <v>0.11465952405480581</v>
      </c>
      <c r="O318">
        <f t="shared" si="9"/>
        <v>0.13739368723551609</v>
      </c>
    </row>
    <row r="319" spans="1:15" x14ac:dyDescent="0.3">
      <c r="A319" t="s">
        <v>344</v>
      </c>
      <c r="B319" t="s">
        <v>30</v>
      </c>
      <c r="C319" s="1">
        <v>45491</v>
      </c>
      <c r="D319" t="s">
        <v>24</v>
      </c>
      <c r="E319" t="s">
        <v>78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37</v>
      </c>
      <c r="N319">
        <f t="shared" si="8"/>
        <v>0.13517919809886983</v>
      </c>
      <c r="O319">
        <f t="shared" si="9"/>
        <v>0.13298735096853673</v>
      </c>
    </row>
    <row r="320" spans="1:15" x14ac:dyDescent="0.3">
      <c r="A320" t="s">
        <v>345</v>
      </c>
      <c r="B320" t="s">
        <v>30</v>
      </c>
      <c r="C320" s="1">
        <v>45560</v>
      </c>
      <c r="D320" t="s">
        <v>61</v>
      </c>
      <c r="E320" t="s">
        <v>141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20</v>
      </c>
      <c r="M320" t="s">
        <v>32</v>
      </c>
      <c r="N320">
        <f t="shared" si="8"/>
        <v>0.19484607062063539</v>
      </c>
      <c r="O320">
        <f t="shared" si="9"/>
        <v>0.13298735096853673</v>
      </c>
    </row>
    <row r="321" spans="1:15" x14ac:dyDescent="0.3">
      <c r="A321" t="s">
        <v>346</v>
      </c>
      <c r="B321" t="s">
        <v>34</v>
      </c>
      <c r="C321" s="1">
        <v>45519</v>
      </c>
      <c r="D321" t="s">
        <v>18</v>
      </c>
      <c r="E321" t="s">
        <v>66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37</v>
      </c>
      <c r="M321" t="s">
        <v>21</v>
      </c>
      <c r="N321">
        <f t="shared" si="8"/>
        <v>0.30126002290950743</v>
      </c>
      <c r="O321">
        <f t="shared" si="9"/>
        <v>0.18531784517185629</v>
      </c>
    </row>
    <row r="322" spans="1:15" x14ac:dyDescent="0.3">
      <c r="A322" t="s">
        <v>347</v>
      </c>
      <c r="B322" t="s">
        <v>30</v>
      </c>
      <c r="C322" s="1">
        <v>45764</v>
      </c>
      <c r="D322" t="s">
        <v>42</v>
      </c>
      <c r="E322" t="s">
        <v>57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20</v>
      </c>
      <c r="M322" t="s">
        <v>32</v>
      </c>
      <c r="N322">
        <f t="shared" ref="N322:N340" si="10">(F322+G322+H322)/I322</f>
        <v>6.800325430032543E-2</v>
      </c>
      <c r="O322">
        <f t="shared" ref="O322:O340" si="11">AVERAGEIF(B:B,B322,N:N)</f>
        <v>0.13298735096853673</v>
      </c>
    </row>
    <row r="323" spans="1:15" x14ac:dyDescent="0.3">
      <c r="A323" t="s">
        <v>348</v>
      </c>
      <c r="B323" t="s">
        <v>41</v>
      </c>
      <c r="C323" s="1">
        <v>45624</v>
      </c>
      <c r="D323" t="s">
        <v>42</v>
      </c>
      <c r="E323" t="s">
        <v>43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20</v>
      </c>
      <c r="N323">
        <f t="shared" si="10"/>
        <v>7.3018902217375503E-2</v>
      </c>
      <c r="O323">
        <f t="shared" si="11"/>
        <v>0.12094203382654924</v>
      </c>
    </row>
    <row r="324" spans="1:15" x14ac:dyDescent="0.3">
      <c r="A324" t="s">
        <v>349</v>
      </c>
      <c r="B324" t="s">
        <v>34</v>
      </c>
      <c r="C324" s="1">
        <v>45646</v>
      </c>
      <c r="D324" t="s">
        <v>42</v>
      </c>
      <c r="E324" t="s">
        <v>70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37</v>
      </c>
      <c r="M324" t="s">
        <v>38</v>
      </c>
      <c r="N324">
        <f t="shared" si="10"/>
        <v>8.3921940869371006E-2</v>
      </c>
      <c r="O324">
        <f t="shared" si="11"/>
        <v>0.18531784517185629</v>
      </c>
    </row>
    <row r="325" spans="1:15" x14ac:dyDescent="0.3">
      <c r="A325" t="s">
        <v>350</v>
      </c>
      <c r="B325" t="s">
        <v>41</v>
      </c>
      <c r="C325" s="1">
        <v>45602</v>
      </c>
      <c r="D325" t="s">
        <v>61</v>
      </c>
      <c r="E325" t="s">
        <v>62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37</v>
      </c>
      <c r="M325" t="s">
        <v>38</v>
      </c>
      <c r="N325">
        <f t="shared" si="10"/>
        <v>7.1956537279290869E-2</v>
      </c>
      <c r="O325">
        <f t="shared" si="11"/>
        <v>0.12094203382654924</v>
      </c>
    </row>
    <row r="326" spans="1:15" x14ac:dyDescent="0.3">
      <c r="A326" t="s">
        <v>351</v>
      </c>
      <c r="B326" t="s">
        <v>41</v>
      </c>
      <c r="C326" s="1">
        <v>45613</v>
      </c>
      <c r="D326" t="s">
        <v>24</v>
      </c>
      <c r="E326" t="s">
        <v>50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26</v>
      </c>
      <c r="N326">
        <f t="shared" si="10"/>
        <v>0.12353896103896105</v>
      </c>
      <c r="O326">
        <f t="shared" si="11"/>
        <v>0.12094203382654924</v>
      </c>
    </row>
    <row r="327" spans="1:15" x14ac:dyDescent="0.3">
      <c r="A327" t="s">
        <v>351</v>
      </c>
      <c r="B327" t="s">
        <v>41</v>
      </c>
      <c r="C327" s="1">
        <v>45613</v>
      </c>
      <c r="D327" t="s">
        <v>24</v>
      </c>
      <c r="E327" t="s">
        <v>50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22</v>
      </c>
      <c r="N327">
        <f t="shared" si="10"/>
        <v>0.12353896103896105</v>
      </c>
      <c r="O327">
        <f t="shared" si="11"/>
        <v>0.12094203382654924</v>
      </c>
    </row>
    <row r="328" spans="1:15" x14ac:dyDescent="0.3">
      <c r="A328" t="s">
        <v>352</v>
      </c>
      <c r="B328" t="s">
        <v>41</v>
      </c>
      <c r="C328" s="1">
        <v>45791</v>
      </c>
      <c r="D328" t="s">
        <v>24</v>
      </c>
      <c r="E328" t="s">
        <v>50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37</v>
      </c>
      <c r="M328" t="s">
        <v>21</v>
      </c>
      <c r="N328">
        <f t="shared" si="10"/>
        <v>0.12428384068475185</v>
      </c>
      <c r="O328">
        <f t="shared" si="11"/>
        <v>0.12094203382654924</v>
      </c>
    </row>
    <row r="329" spans="1:15" x14ac:dyDescent="0.3">
      <c r="A329" t="s">
        <v>353</v>
      </c>
      <c r="B329" t="s">
        <v>41</v>
      </c>
      <c r="C329" s="1">
        <v>45462</v>
      </c>
      <c r="D329" t="s">
        <v>42</v>
      </c>
      <c r="E329" t="s">
        <v>43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37</v>
      </c>
      <c r="M329" t="s">
        <v>32</v>
      </c>
      <c r="N329">
        <f t="shared" si="10"/>
        <v>0.18248432325794406</v>
      </c>
      <c r="O329">
        <f t="shared" si="11"/>
        <v>0.12094203382654924</v>
      </c>
    </row>
    <row r="330" spans="1:15" x14ac:dyDescent="0.3">
      <c r="A330" t="s">
        <v>354</v>
      </c>
      <c r="B330" t="s">
        <v>17</v>
      </c>
      <c r="C330" s="1">
        <v>45783</v>
      </c>
      <c r="D330" t="s">
        <v>47</v>
      </c>
      <c r="E330" t="s">
        <v>93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20</v>
      </c>
      <c r="M330" t="s">
        <v>27</v>
      </c>
      <c r="N330">
        <f t="shared" si="10"/>
        <v>0.16540727459016394</v>
      </c>
      <c r="O330">
        <f t="shared" si="11"/>
        <v>0.13739368723551609</v>
      </c>
    </row>
    <row r="331" spans="1:15" x14ac:dyDescent="0.3">
      <c r="A331" t="s">
        <v>354</v>
      </c>
      <c r="B331" t="s">
        <v>17</v>
      </c>
      <c r="C331" s="1">
        <v>45783</v>
      </c>
      <c r="D331" t="s">
        <v>47</v>
      </c>
      <c r="E331" t="s">
        <v>93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26</v>
      </c>
      <c r="M331" t="s">
        <v>27</v>
      </c>
      <c r="N331">
        <f t="shared" si="10"/>
        <v>0.16540727459016394</v>
      </c>
      <c r="O331">
        <f t="shared" si="11"/>
        <v>0.13739368723551609</v>
      </c>
    </row>
    <row r="332" spans="1:15" x14ac:dyDescent="0.3">
      <c r="A332" t="s">
        <v>354</v>
      </c>
      <c r="B332" t="s">
        <v>17</v>
      </c>
      <c r="C332" s="1">
        <v>45783</v>
      </c>
      <c r="D332" t="s">
        <v>47</v>
      </c>
      <c r="E332" t="s">
        <v>93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22</v>
      </c>
      <c r="M332" t="s">
        <v>27</v>
      </c>
      <c r="N332">
        <f t="shared" si="10"/>
        <v>0.16540727459016394</v>
      </c>
      <c r="O332">
        <f t="shared" si="11"/>
        <v>0.13739368723551609</v>
      </c>
    </row>
    <row r="333" spans="1:15" x14ac:dyDescent="0.3">
      <c r="A333" t="s">
        <v>355</v>
      </c>
      <c r="B333" t="s">
        <v>17</v>
      </c>
      <c r="C333" s="1">
        <v>45699</v>
      </c>
      <c r="D333" t="s">
        <v>61</v>
      </c>
      <c r="E333" t="s">
        <v>100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26</v>
      </c>
      <c r="M333" t="s">
        <v>38</v>
      </c>
      <c r="N333">
        <f t="shared" si="10"/>
        <v>5.9387824897400819E-2</v>
      </c>
      <c r="O333">
        <f t="shared" si="11"/>
        <v>0.13739368723551609</v>
      </c>
    </row>
    <row r="334" spans="1:15" x14ac:dyDescent="0.3">
      <c r="A334" t="s">
        <v>355</v>
      </c>
      <c r="B334" t="s">
        <v>17</v>
      </c>
      <c r="C334" s="1">
        <v>45699</v>
      </c>
      <c r="D334" t="s">
        <v>61</v>
      </c>
      <c r="E334" t="s">
        <v>100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199</v>
      </c>
      <c r="M334" t="s">
        <v>38</v>
      </c>
      <c r="N334">
        <f t="shared" si="10"/>
        <v>5.9387824897400819E-2</v>
      </c>
      <c r="O334">
        <f t="shared" si="11"/>
        <v>0.13739368723551609</v>
      </c>
    </row>
    <row r="335" spans="1:15" x14ac:dyDescent="0.3">
      <c r="A335" t="s">
        <v>356</v>
      </c>
      <c r="B335" t="s">
        <v>17</v>
      </c>
      <c r="C335" s="1">
        <v>45650</v>
      </c>
      <c r="D335" t="s">
        <v>24</v>
      </c>
      <c r="E335" t="s">
        <v>25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37</v>
      </c>
      <c r="M335" t="s">
        <v>38</v>
      </c>
      <c r="N335">
        <f t="shared" si="10"/>
        <v>0.24349030470914126</v>
      </c>
      <c r="O335">
        <f t="shared" si="11"/>
        <v>0.13739368723551609</v>
      </c>
    </row>
    <row r="336" spans="1:15" x14ac:dyDescent="0.3">
      <c r="A336" t="s">
        <v>357</v>
      </c>
      <c r="B336" t="s">
        <v>41</v>
      </c>
      <c r="C336" s="1">
        <v>45589</v>
      </c>
      <c r="D336" t="s">
        <v>47</v>
      </c>
      <c r="E336" t="s">
        <v>52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26</v>
      </c>
      <c r="M336" t="s">
        <v>32</v>
      </c>
      <c r="N336">
        <f t="shared" si="10"/>
        <v>5.8563792702765516E-2</v>
      </c>
      <c r="O336">
        <f t="shared" si="11"/>
        <v>0.12094203382654924</v>
      </c>
    </row>
    <row r="337" spans="1:15" x14ac:dyDescent="0.3">
      <c r="A337" t="s">
        <v>358</v>
      </c>
      <c r="B337" t="s">
        <v>41</v>
      </c>
      <c r="C337" s="1">
        <v>45530</v>
      </c>
      <c r="D337" t="s">
        <v>47</v>
      </c>
      <c r="E337" t="s">
        <v>52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20</v>
      </c>
      <c r="M337" t="s">
        <v>32</v>
      </c>
      <c r="N337">
        <f t="shared" si="10"/>
        <v>0.13840458048129492</v>
      </c>
      <c r="O337">
        <f t="shared" si="11"/>
        <v>0.12094203382654924</v>
      </c>
    </row>
    <row r="338" spans="1:15" x14ac:dyDescent="0.3">
      <c r="A338" t="s">
        <v>359</v>
      </c>
      <c r="B338" t="s">
        <v>17</v>
      </c>
      <c r="C338" s="1">
        <v>45535</v>
      </c>
      <c r="D338" t="s">
        <v>42</v>
      </c>
      <c r="E338" t="s">
        <v>45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26</v>
      </c>
      <c r="M338" t="s">
        <v>21</v>
      </c>
      <c r="N338">
        <f t="shared" si="10"/>
        <v>8.3539958039290485E-2</v>
      </c>
      <c r="O338">
        <f t="shared" si="11"/>
        <v>0.13739368723551609</v>
      </c>
    </row>
    <row r="339" spans="1:15" x14ac:dyDescent="0.3">
      <c r="A339" t="s">
        <v>359</v>
      </c>
      <c r="B339" t="s">
        <v>17</v>
      </c>
      <c r="C339" s="1">
        <v>45535</v>
      </c>
      <c r="D339" t="s">
        <v>42</v>
      </c>
      <c r="E339" t="s">
        <v>45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37</v>
      </c>
      <c r="M339" t="s">
        <v>21</v>
      </c>
      <c r="N339">
        <f t="shared" si="10"/>
        <v>8.3539958039290485E-2</v>
      </c>
      <c r="O339">
        <f t="shared" si="11"/>
        <v>0.13739368723551609</v>
      </c>
    </row>
    <row r="340" spans="1:15" x14ac:dyDescent="0.3">
      <c r="A340" t="s">
        <v>359</v>
      </c>
      <c r="B340" t="s">
        <v>17</v>
      </c>
      <c r="C340" s="1">
        <v>45535</v>
      </c>
      <c r="D340" t="s">
        <v>42</v>
      </c>
      <c r="E340" t="s">
        <v>45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28</v>
      </c>
      <c r="M340" t="s">
        <v>21</v>
      </c>
      <c r="N340">
        <f t="shared" si="10"/>
        <v>8.3539958039290485E-2</v>
      </c>
      <c r="O340">
        <f t="shared" si="11"/>
        <v>0.13739368723551609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4628-2C5A-4911-9261-01055C19368A}">
  <dimension ref="A1:I201"/>
  <sheetViews>
    <sheetView topLeftCell="D1" workbookViewId="0">
      <selection activeCell="L9" sqref="L9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77734375" bestFit="1" customWidth="1"/>
    <col min="9" max="9" width="36.88671875" bestFit="1" customWidth="1"/>
    <col min="10" max="10" width="34.109375" bestFit="1" customWidth="1"/>
  </cols>
  <sheetData>
    <row r="1" spans="1:9" x14ac:dyDescent="0.3">
      <c r="A1" t="s">
        <v>360</v>
      </c>
      <c r="B1" t="s">
        <v>1</v>
      </c>
      <c r="C1" t="s">
        <v>361</v>
      </c>
      <c r="D1" t="s">
        <v>362</v>
      </c>
      <c r="E1" t="s">
        <v>363</v>
      </c>
      <c r="F1" t="s">
        <v>364</v>
      </c>
      <c r="G1" t="s">
        <v>15</v>
      </c>
      <c r="H1" t="s">
        <v>365</v>
      </c>
      <c r="I1" t="s">
        <v>366</v>
      </c>
    </row>
    <row r="2" spans="1:9" x14ac:dyDescent="0.3">
      <c r="A2" s="1">
        <v>45446</v>
      </c>
      <c r="B2" t="s">
        <v>34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f t="shared" ref="H2:H65" si="0">C2-D2</f>
        <v>1047</v>
      </c>
      <c r="I2">
        <f>SUMIF(B:B,B2,H:H)</f>
        <v>48004</v>
      </c>
    </row>
    <row r="3" spans="1:9" x14ac:dyDescent="0.3">
      <c r="A3" s="1">
        <v>45446</v>
      </c>
      <c r="B3" t="s">
        <v>41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 t="shared" si="0"/>
        <v>1002</v>
      </c>
      <c r="I3">
        <f t="shared" ref="I3:I66" si="1">SUMIF(B:B,B3,H:H)</f>
        <v>35557</v>
      </c>
    </row>
    <row r="4" spans="1:9" x14ac:dyDescent="0.3">
      <c r="A4" s="1">
        <v>45446</v>
      </c>
      <c r="B4" t="s">
        <v>17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f t="shared" si="0"/>
        <v>415</v>
      </c>
      <c r="I4">
        <f t="shared" si="1"/>
        <v>41177</v>
      </c>
    </row>
    <row r="5" spans="1:9" x14ac:dyDescent="0.3">
      <c r="A5" s="1">
        <v>45446</v>
      </c>
      <c r="B5" t="s">
        <v>367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f t="shared" si="0"/>
        <v>1090</v>
      </c>
      <c r="I5">
        <f t="shared" si="1"/>
        <v>35367</v>
      </c>
    </row>
    <row r="6" spans="1:9" x14ac:dyDescent="0.3">
      <c r="A6" s="1">
        <v>45453</v>
      </c>
      <c r="B6" t="s">
        <v>34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f t="shared" si="0"/>
        <v>517</v>
      </c>
      <c r="I6">
        <f t="shared" si="1"/>
        <v>48004</v>
      </c>
    </row>
    <row r="7" spans="1:9" x14ac:dyDescent="0.3">
      <c r="A7" s="1">
        <v>45453</v>
      </c>
      <c r="B7" t="s">
        <v>41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f t="shared" si="0"/>
        <v>1283</v>
      </c>
      <c r="I7">
        <f t="shared" si="1"/>
        <v>35557</v>
      </c>
    </row>
    <row r="8" spans="1:9" x14ac:dyDescent="0.3">
      <c r="A8" s="1">
        <v>45453</v>
      </c>
      <c r="B8" t="s">
        <v>17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f t="shared" si="0"/>
        <v>186</v>
      </c>
      <c r="I8">
        <f t="shared" si="1"/>
        <v>41177</v>
      </c>
    </row>
    <row r="9" spans="1:9" x14ac:dyDescent="0.3">
      <c r="A9" s="1">
        <v>45453</v>
      </c>
      <c r="B9" t="s">
        <v>367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f t="shared" si="0"/>
        <v>994</v>
      </c>
      <c r="I9">
        <f t="shared" si="1"/>
        <v>35367</v>
      </c>
    </row>
    <row r="10" spans="1:9" x14ac:dyDescent="0.3">
      <c r="A10" s="1">
        <v>45460</v>
      </c>
      <c r="B10" t="s">
        <v>34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f t="shared" si="0"/>
        <v>893</v>
      </c>
      <c r="I10">
        <f t="shared" si="1"/>
        <v>48004</v>
      </c>
    </row>
    <row r="11" spans="1:9" x14ac:dyDescent="0.3">
      <c r="A11" s="1">
        <v>45460</v>
      </c>
      <c r="B11" t="s">
        <v>41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f t="shared" si="0"/>
        <v>1382</v>
      </c>
      <c r="I11">
        <f t="shared" si="1"/>
        <v>35557</v>
      </c>
    </row>
    <row r="12" spans="1:9" x14ac:dyDescent="0.3">
      <c r="A12" s="1">
        <v>45460</v>
      </c>
      <c r="B12" t="s">
        <v>17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f t="shared" si="0"/>
        <v>1295</v>
      </c>
      <c r="I12">
        <f t="shared" si="1"/>
        <v>41177</v>
      </c>
    </row>
    <row r="13" spans="1:9" x14ac:dyDescent="0.3">
      <c r="A13" s="1">
        <v>45460</v>
      </c>
      <c r="B13" t="s">
        <v>367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f t="shared" si="0"/>
        <v>337</v>
      </c>
      <c r="I13">
        <f t="shared" si="1"/>
        <v>35367</v>
      </c>
    </row>
    <row r="14" spans="1:9" x14ac:dyDescent="0.3">
      <c r="A14" s="1">
        <v>45467</v>
      </c>
      <c r="B14" t="s">
        <v>34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f t="shared" si="0"/>
        <v>629</v>
      </c>
      <c r="I14">
        <f t="shared" si="1"/>
        <v>48004</v>
      </c>
    </row>
    <row r="15" spans="1:9" x14ac:dyDescent="0.3">
      <c r="A15" s="1">
        <v>45467</v>
      </c>
      <c r="B15" t="s">
        <v>41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f t="shared" si="0"/>
        <v>1670</v>
      </c>
      <c r="I15">
        <f t="shared" si="1"/>
        <v>35557</v>
      </c>
    </row>
    <row r="16" spans="1:9" x14ac:dyDescent="0.3">
      <c r="A16" s="1">
        <v>45467</v>
      </c>
      <c r="B16" t="s">
        <v>17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f t="shared" si="0"/>
        <v>835</v>
      </c>
      <c r="I16">
        <f t="shared" si="1"/>
        <v>41177</v>
      </c>
    </row>
    <row r="17" spans="1:9" x14ac:dyDescent="0.3">
      <c r="A17" s="1">
        <v>45467</v>
      </c>
      <c r="B17" t="s">
        <v>367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f t="shared" si="0"/>
        <v>-123</v>
      </c>
      <c r="I17">
        <f t="shared" si="1"/>
        <v>35367</v>
      </c>
    </row>
    <row r="18" spans="1:9" x14ac:dyDescent="0.3">
      <c r="A18" s="1">
        <v>45474</v>
      </c>
      <c r="B18" t="s">
        <v>34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f t="shared" si="0"/>
        <v>-219</v>
      </c>
      <c r="I18">
        <f t="shared" si="1"/>
        <v>48004</v>
      </c>
    </row>
    <row r="19" spans="1:9" x14ac:dyDescent="0.3">
      <c r="A19" s="1">
        <v>45474</v>
      </c>
      <c r="B19" t="s">
        <v>41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f t="shared" si="0"/>
        <v>64</v>
      </c>
      <c r="I19">
        <f t="shared" si="1"/>
        <v>35557</v>
      </c>
    </row>
    <row r="20" spans="1:9" x14ac:dyDescent="0.3">
      <c r="A20" s="1">
        <v>45474</v>
      </c>
      <c r="B20" t="s">
        <v>17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f t="shared" si="0"/>
        <v>1357</v>
      </c>
      <c r="I20">
        <f t="shared" si="1"/>
        <v>41177</v>
      </c>
    </row>
    <row r="21" spans="1:9" x14ac:dyDescent="0.3">
      <c r="A21" s="1">
        <v>45474</v>
      </c>
      <c r="B21" t="s">
        <v>367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f t="shared" si="0"/>
        <v>91</v>
      </c>
      <c r="I21">
        <f t="shared" si="1"/>
        <v>35367</v>
      </c>
    </row>
    <row r="22" spans="1:9" x14ac:dyDescent="0.3">
      <c r="A22" s="1">
        <v>45481</v>
      </c>
      <c r="B22" t="s">
        <v>34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f t="shared" si="0"/>
        <v>1672</v>
      </c>
      <c r="I22">
        <f t="shared" si="1"/>
        <v>48004</v>
      </c>
    </row>
    <row r="23" spans="1:9" x14ac:dyDescent="0.3">
      <c r="A23" s="1">
        <v>45481</v>
      </c>
      <c r="B23" t="s">
        <v>41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f t="shared" si="0"/>
        <v>309</v>
      </c>
      <c r="I23">
        <f t="shared" si="1"/>
        <v>35557</v>
      </c>
    </row>
    <row r="24" spans="1:9" x14ac:dyDescent="0.3">
      <c r="A24" s="1">
        <v>45481</v>
      </c>
      <c r="B24" t="s">
        <v>17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f t="shared" si="0"/>
        <v>547</v>
      </c>
      <c r="I24">
        <f t="shared" si="1"/>
        <v>41177</v>
      </c>
    </row>
    <row r="25" spans="1:9" x14ac:dyDescent="0.3">
      <c r="A25" s="1">
        <v>45481</v>
      </c>
      <c r="B25" t="s">
        <v>367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f t="shared" si="0"/>
        <v>514</v>
      </c>
      <c r="I25">
        <f t="shared" si="1"/>
        <v>35367</v>
      </c>
    </row>
    <row r="26" spans="1:9" x14ac:dyDescent="0.3">
      <c r="A26" s="1">
        <v>45488</v>
      </c>
      <c r="B26" t="s">
        <v>34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f t="shared" si="0"/>
        <v>1845</v>
      </c>
      <c r="I26">
        <f t="shared" si="1"/>
        <v>48004</v>
      </c>
    </row>
    <row r="27" spans="1:9" x14ac:dyDescent="0.3">
      <c r="A27" s="1">
        <v>45488</v>
      </c>
      <c r="B27" t="s">
        <v>41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f t="shared" si="0"/>
        <v>-164</v>
      </c>
      <c r="I27">
        <f t="shared" si="1"/>
        <v>35557</v>
      </c>
    </row>
    <row r="28" spans="1:9" x14ac:dyDescent="0.3">
      <c r="A28" s="1">
        <v>45488</v>
      </c>
      <c r="B28" t="s">
        <v>17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f t="shared" si="0"/>
        <v>429</v>
      </c>
      <c r="I28">
        <f t="shared" si="1"/>
        <v>41177</v>
      </c>
    </row>
    <row r="29" spans="1:9" x14ac:dyDescent="0.3">
      <c r="A29" s="1">
        <v>45488</v>
      </c>
      <c r="B29" t="s">
        <v>367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f t="shared" si="0"/>
        <v>160</v>
      </c>
      <c r="I29">
        <f t="shared" si="1"/>
        <v>35367</v>
      </c>
    </row>
    <row r="30" spans="1:9" x14ac:dyDescent="0.3">
      <c r="A30" s="1">
        <v>45495</v>
      </c>
      <c r="B30" t="s">
        <v>34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f t="shared" si="0"/>
        <v>159</v>
      </c>
      <c r="I30">
        <f t="shared" si="1"/>
        <v>48004</v>
      </c>
    </row>
    <row r="31" spans="1:9" x14ac:dyDescent="0.3">
      <c r="A31" s="1">
        <v>45495</v>
      </c>
      <c r="B31" t="s">
        <v>41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f t="shared" si="0"/>
        <v>961</v>
      </c>
      <c r="I31">
        <f t="shared" si="1"/>
        <v>35557</v>
      </c>
    </row>
    <row r="32" spans="1:9" x14ac:dyDescent="0.3">
      <c r="A32" s="1">
        <v>45495</v>
      </c>
      <c r="B32" t="s">
        <v>17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f t="shared" si="0"/>
        <v>1316</v>
      </c>
      <c r="I32">
        <f t="shared" si="1"/>
        <v>41177</v>
      </c>
    </row>
    <row r="33" spans="1:9" x14ac:dyDescent="0.3">
      <c r="A33" s="1">
        <v>45495</v>
      </c>
      <c r="B33" t="s">
        <v>367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f t="shared" si="0"/>
        <v>317</v>
      </c>
      <c r="I33">
        <f t="shared" si="1"/>
        <v>35367</v>
      </c>
    </row>
    <row r="34" spans="1:9" x14ac:dyDescent="0.3">
      <c r="A34" s="1">
        <v>45502</v>
      </c>
      <c r="B34" t="s">
        <v>34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f t="shared" si="0"/>
        <v>541</v>
      </c>
      <c r="I34">
        <f t="shared" si="1"/>
        <v>48004</v>
      </c>
    </row>
    <row r="35" spans="1:9" x14ac:dyDescent="0.3">
      <c r="A35" s="1">
        <v>45502</v>
      </c>
      <c r="B35" t="s">
        <v>41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f t="shared" si="0"/>
        <v>-318</v>
      </c>
      <c r="I35">
        <f t="shared" si="1"/>
        <v>35557</v>
      </c>
    </row>
    <row r="36" spans="1:9" x14ac:dyDescent="0.3">
      <c r="A36" s="1">
        <v>45502</v>
      </c>
      <c r="B36" t="s">
        <v>17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f t="shared" si="0"/>
        <v>1495</v>
      </c>
      <c r="I36">
        <f t="shared" si="1"/>
        <v>41177</v>
      </c>
    </row>
    <row r="37" spans="1:9" x14ac:dyDescent="0.3">
      <c r="A37" s="1">
        <v>45502</v>
      </c>
      <c r="B37" t="s">
        <v>367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f t="shared" si="0"/>
        <v>475</v>
      </c>
      <c r="I37">
        <f t="shared" si="1"/>
        <v>35367</v>
      </c>
    </row>
    <row r="38" spans="1:9" x14ac:dyDescent="0.3">
      <c r="A38" s="1">
        <v>45509</v>
      </c>
      <c r="B38" t="s">
        <v>34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f t="shared" si="0"/>
        <v>352</v>
      </c>
      <c r="I38">
        <f t="shared" si="1"/>
        <v>48004</v>
      </c>
    </row>
    <row r="39" spans="1:9" x14ac:dyDescent="0.3">
      <c r="A39" s="1">
        <v>45509</v>
      </c>
      <c r="B39" t="s">
        <v>41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f t="shared" si="0"/>
        <v>-197</v>
      </c>
      <c r="I39">
        <f t="shared" si="1"/>
        <v>35557</v>
      </c>
    </row>
    <row r="40" spans="1:9" x14ac:dyDescent="0.3">
      <c r="A40" s="1">
        <v>45509</v>
      </c>
      <c r="B40" t="s">
        <v>17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f t="shared" si="0"/>
        <v>328</v>
      </c>
      <c r="I40">
        <f t="shared" si="1"/>
        <v>41177</v>
      </c>
    </row>
    <row r="41" spans="1:9" x14ac:dyDescent="0.3">
      <c r="A41" s="1">
        <v>45509</v>
      </c>
      <c r="B41" t="s">
        <v>367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f t="shared" si="0"/>
        <v>319</v>
      </c>
      <c r="I41">
        <f t="shared" si="1"/>
        <v>35367</v>
      </c>
    </row>
    <row r="42" spans="1:9" x14ac:dyDescent="0.3">
      <c r="A42" s="1">
        <v>45516</v>
      </c>
      <c r="B42" t="s">
        <v>34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f t="shared" si="0"/>
        <v>1325</v>
      </c>
      <c r="I42">
        <f t="shared" si="1"/>
        <v>48004</v>
      </c>
    </row>
    <row r="43" spans="1:9" x14ac:dyDescent="0.3">
      <c r="A43" s="1">
        <v>45516</v>
      </c>
      <c r="B43" t="s">
        <v>41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f t="shared" si="0"/>
        <v>1334</v>
      </c>
      <c r="I43">
        <f t="shared" si="1"/>
        <v>35557</v>
      </c>
    </row>
    <row r="44" spans="1:9" x14ac:dyDescent="0.3">
      <c r="A44" s="1">
        <v>45516</v>
      </c>
      <c r="B44" t="s">
        <v>17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f t="shared" si="0"/>
        <v>37</v>
      </c>
      <c r="I44">
        <f t="shared" si="1"/>
        <v>41177</v>
      </c>
    </row>
    <row r="45" spans="1:9" x14ac:dyDescent="0.3">
      <c r="A45" s="1">
        <v>45516</v>
      </c>
      <c r="B45" t="s">
        <v>367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f t="shared" si="0"/>
        <v>1032</v>
      </c>
      <c r="I45">
        <f t="shared" si="1"/>
        <v>35367</v>
      </c>
    </row>
    <row r="46" spans="1:9" x14ac:dyDescent="0.3">
      <c r="A46" s="1">
        <v>45523</v>
      </c>
      <c r="B46" t="s">
        <v>34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f t="shared" si="0"/>
        <v>76</v>
      </c>
      <c r="I46">
        <f t="shared" si="1"/>
        <v>48004</v>
      </c>
    </row>
    <row r="47" spans="1:9" x14ac:dyDescent="0.3">
      <c r="A47" s="1">
        <v>45523</v>
      </c>
      <c r="B47" t="s">
        <v>41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f t="shared" si="0"/>
        <v>1058</v>
      </c>
      <c r="I47">
        <f t="shared" si="1"/>
        <v>35557</v>
      </c>
    </row>
    <row r="48" spans="1:9" x14ac:dyDescent="0.3">
      <c r="A48" s="1">
        <v>45523</v>
      </c>
      <c r="B48" t="s">
        <v>17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f t="shared" si="0"/>
        <v>1665</v>
      </c>
      <c r="I48">
        <f t="shared" si="1"/>
        <v>41177</v>
      </c>
    </row>
    <row r="49" spans="1:9" x14ac:dyDescent="0.3">
      <c r="A49" s="1">
        <v>45523</v>
      </c>
      <c r="B49" t="s">
        <v>367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f t="shared" si="0"/>
        <v>190</v>
      </c>
      <c r="I49">
        <f t="shared" si="1"/>
        <v>35367</v>
      </c>
    </row>
    <row r="50" spans="1:9" x14ac:dyDescent="0.3">
      <c r="A50" s="1">
        <v>45530</v>
      </c>
      <c r="B50" t="s">
        <v>34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f t="shared" si="0"/>
        <v>1609</v>
      </c>
      <c r="I50">
        <f t="shared" si="1"/>
        <v>48004</v>
      </c>
    </row>
    <row r="51" spans="1:9" x14ac:dyDescent="0.3">
      <c r="A51" s="1">
        <v>45530</v>
      </c>
      <c r="B51" t="s">
        <v>41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f t="shared" si="0"/>
        <v>37</v>
      </c>
      <c r="I51">
        <f t="shared" si="1"/>
        <v>35557</v>
      </c>
    </row>
    <row r="52" spans="1:9" x14ac:dyDescent="0.3">
      <c r="A52" s="1">
        <v>45530</v>
      </c>
      <c r="B52" t="s">
        <v>17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f t="shared" si="0"/>
        <v>1229</v>
      </c>
      <c r="I52">
        <f t="shared" si="1"/>
        <v>41177</v>
      </c>
    </row>
    <row r="53" spans="1:9" x14ac:dyDescent="0.3">
      <c r="A53" s="1">
        <v>45530</v>
      </c>
      <c r="B53" t="s">
        <v>367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f t="shared" si="0"/>
        <v>28</v>
      </c>
      <c r="I53">
        <f t="shared" si="1"/>
        <v>35367</v>
      </c>
    </row>
    <row r="54" spans="1:9" x14ac:dyDescent="0.3">
      <c r="A54" s="1">
        <v>45537</v>
      </c>
      <c r="B54" t="s">
        <v>34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f t="shared" si="0"/>
        <v>1247</v>
      </c>
      <c r="I54">
        <f t="shared" si="1"/>
        <v>48004</v>
      </c>
    </row>
    <row r="55" spans="1:9" x14ac:dyDescent="0.3">
      <c r="A55" s="1">
        <v>45537</v>
      </c>
      <c r="B55" t="s">
        <v>41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f t="shared" si="0"/>
        <v>1045</v>
      </c>
      <c r="I55">
        <f t="shared" si="1"/>
        <v>35557</v>
      </c>
    </row>
    <row r="56" spans="1:9" x14ac:dyDescent="0.3">
      <c r="A56" s="1">
        <v>45537</v>
      </c>
      <c r="B56" t="s">
        <v>17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f t="shared" si="0"/>
        <v>197</v>
      </c>
      <c r="I56">
        <f t="shared" si="1"/>
        <v>41177</v>
      </c>
    </row>
    <row r="57" spans="1:9" x14ac:dyDescent="0.3">
      <c r="A57" s="1">
        <v>45537</v>
      </c>
      <c r="B57" t="s">
        <v>367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f t="shared" si="0"/>
        <v>333</v>
      </c>
      <c r="I57">
        <f t="shared" si="1"/>
        <v>35367</v>
      </c>
    </row>
    <row r="58" spans="1:9" x14ac:dyDescent="0.3">
      <c r="A58" s="1">
        <v>45544</v>
      </c>
      <c r="B58" t="s">
        <v>34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f t="shared" si="0"/>
        <v>1572</v>
      </c>
      <c r="I58">
        <f t="shared" si="1"/>
        <v>48004</v>
      </c>
    </row>
    <row r="59" spans="1:9" x14ac:dyDescent="0.3">
      <c r="A59" s="1">
        <v>45544</v>
      </c>
      <c r="B59" t="s">
        <v>41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f t="shared" si="0"/>
        <v>1428</v>
      </c>
      <c r="I59">
        <f t="shared" si="1"/>
        <v>35557</v>
      </c>
    </row>
    <row r="60" spans="1:9" x14ac:dyDescent="0.3">
      <c r="A60" s="1">
        <v>45544</v>
      </c>
      <c r="B60" t="s">
        <v>17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f t="shared" si="0"/>
        <v>260</v>
      </c>
      <c r="I60">
        <f t="shared" si="1"/>
        <v>41177</v>
      </c>
    </row>
    <row r="61" spans="1:9" x14ac:dyDescent="0.3">
      <c r="A61" s="1">
        <v>45544</v>
      </c>
      <c r="B61" t="s">
        <v>367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f t="shared" si="0"/>
        <v>1100</v>
      </c>
      <c r="I61">
        <f t="shared" si="1"/>
        <v>35367</v>
      </c>
    </row>
    <row r="62" spans="1:9" x14ac:dyDescent="0.3">
      <c r="A62" s="1">
        <v>45551</v>
      </c>
      <c r="B62" t="s">
        <v>34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f t="shared" si="0"/>
        <v>377</v>
      </c>
      <c r="I62">
        <f t="shared" si="1"/>
        <v>48004</v>
      </c>
    </row>
    <row r="63" spans="1:9" x14ac:dyDescent="0.3">
      <c r="A63" s="1">
        <v>45551</v>
      </c>
      <c r="B63" t="s">
        <v>41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f t="shared" si="0"/>
        <v>98</v>
      </c>
      <c r="I63">
        <f t="shared" si="1"/>
        <v>35557</v>
      </c>
    </row>
    <row r="64" spans="1:9" x14ac:dyDescent="0.3">
      <c r="A64" s="1">
        <v>45551</v>
      </c>
      <c r="B64" t="s">
        <v>17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f t="shared" si="0"/>
        <v>1125</v>
      </c>
      <c r="I64">
        <f t="shared" si="1"/>
        <v>41177</v>
      </c>
    </row>
    <row r="65" spans="1:9" x14ac:dyDescent="0.3">
      <c r="A65" s="1">
        <v>45551</v>
      </c>
      <c r="B65" t="s">
        <v>367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f t="shared" si="0"/>
        <v>-32</v>
      </c>
      <c r="I65">
        <f t="shared" si="1"/>
        <v>35367</v>
      </c>
    </row>
    <row r="66" spans="1:9" x14ac:dyDescent="0.3">
      <c r="A66" s="1">
        <v>45558</v>
      </c>
      <c r="B66" t="s">
        <v>34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f t="shared" ref="H66:H129" si="2">C66-D66</f>
        <v>666</v>
      </c>
      <c r="I66">
        <f t="shared" si="1"/>
        <v>48004</v>
      </c>
    </row>
    <row r="67" spans="1:9" x14ac:dyDescent="0.3">
      <c r="A67" s="1">
        <v>45558</v>
      </c>
      <c r="B67" t="s">
        <v>41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f t="shared" si="2"/>
        <v>-19</v>
      </c>
      <c r="I67">
        <f t="shared" ref="I67:I130" si="3">SUMIF(B:B,B67,H:H)</f>
        <v>35557</v>
      </c>
    </row>
    <row r="68" spans="1:9" x14ac:dyDescent="0.3">
      <c r="A68" s="1">
        <v>45558</v>
      </c>
      <c r="B68" t="s">
        <v>17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f t="shared" si="2"/>
        <v>1680</v>
      </c>
      <c r="I68">
        <f t="shared" si="3"/>
        <v>41177</v>
      </c>
    </row>
    <row r="69" spans="1:9" x14ac:dyDescent="0.3">
      <c r="A69" s="1">
        <v>45558</v>
      </c>
      <c r="B69" t="s">
        <v>367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f t="shared" si="2"/>
        <v>1006</v>
      </c>
      <c r="I69">
        <f t="shared" si="3"/>
        <v>35367</v>
      </c>
    </row>
    <row r="70" spans="1:9" x14ac:dyDescent="0.3">
      <c r="A70" s="1">
        <v>45565</v>
      </c>
      <c r="B70" t="s">
        <v>34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 t="shared" si="2"/>
        <v>1025</v>
      </c>
      <c r="I70">
        <f t="shared" si="3"/>
        <v>48004</v>
      </c>
    </row>
    <row r="71" spans="1:9" x14ac:dyDescent="0.3">
      <c r="A71" s="1">
        <v>45565</v>
      </c>
      <c r="B71" t="s">
        <v>41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f t="shared" si="2"/>
        <v>-179</v>
      </c>
      <c r="I71">
        <f t="shared" si="3"/>
        <v>35557</v>
      </c>
    </row>
    <row r="72" spans="1:9" x14ac:dyDescent="0.3">
      <c r="A72" s="1">
        <v>45565</v>
      </c>
      <c r="B72" t="s">
        <v>17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f t="shared" si="2"/>
        <v>599</v>
      </c>
      <c r="I72">
        <f t="shared" si="3"/>
        <v>41177</v>
      </c>
    </row>
    <row r="73" spans="1:9" x14ac:dyDescent="0.3">
      <c r="A73" s="1">
        <v>45565</v>
      </c>
      <c r="B73" t="s">
        <v>367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f t="shared" si="2"/>
        <v>1706</v>
      </c>
      <c r="I73">
        <f t="shared" si="3"/>
        <v>35367</v>
      </c>
    </row>
    <row r="74" spans="1:9" x14ac:dyDescent="0.3">
      <c r="A74" s="1">
        <v>45572</v>
      </c>
      <c r="B74" t="s">
        <v>34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f t="shared" si="2"/>
        <v>1872</v>
      </c>
      <c r="I74">
        <f t="shared" si="3"/>
        <v>48004</v>
      </c>
    </row>
    <row r="75" spans="1:9" x14ac:dyDescent="0.3">
      <c r="A75" s="1">
        <v>45572</v>
      </c>
      <c r="B75" t="s">
        <v>41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f t="shared" si="2"/>
        <v>1662</v>
      </c>
      <c r="I75">
        <f t="shared" si="3"/>
        <v>35557</v>
      </c>
    </row>
    <row r="76" spans="1:9" x14ac:dyDescent="0.3">
      <c r="A76" s="1">
        <v>45572</v>
      </c>
      <c r="B76" t="s">
        <v>17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f t="shared" si="2"/>
        <v>107</v>
      </c>
      <c r="I76">
        <f t="shared" si="3"/>
        <v>41177</v>
      </c>
    </row>
    <row r="77" spans="1:9" x14ac:dyDescent="0.3">
      <c r="A77" s="1">
        <v>45572</v>
      </c>
      <c r="B77" t="s">
        <v>367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f t="shared" si="2"/>
        <v>118</v>
      </c>
      <c r="I77">
        <f t="shared" si="3"/>
        <v>35367</v>
      </c>
    </row>
    <row r="78" spans="1:9" x14ac:dyDescent="0.3">
      <c r="A78" s="1">
        <v>45579</v>
      </c>
      <c r="B78" t="s">
        <v>34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f t="shared" si="2"/>
        <v>1224</v>
      </c>
      <c r="I78">
        <f t="shared" si="3"/>
        <v>48004</v>
      </c>
    </row>
    <row r="79" spans="1:9" x14ac:dyDescent="0.3">
      <c r="A79" s="1">
        <v>45579</v>
      </c>
      <c r="B79" t="s">
        <v>41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f t="shared" si="2"/>
        <v>285</v>
      </c>
      <c r="I79">
        <f t="shared" si="3"/>
        <v>35557</v>
      </c>
    </row>
    <row r="80" spans="1:9" x14ac:dyDescent="0.3">
      <c r="A80" s="1">
        <v>45579</v>
      </c>
      <c r="B80" t="s">
        <v>17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f t="shared" si="2"/>
        <v>-20</v>
      </c>
      <c r="I80">
        <f t="shared" si="3"/>
        <v>41177</v>
      </c>
    </row>
    <row r="81" spans="1:9" x14ac:dyDescent="0.3">
      <c r="A81" s="1">
        <v>45579</v>
      </c>
      <c r="B81" t="s">
        <v>367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f t="shared" si="2"/>
        <v>367</v>
      </c>
      <c r="I81">
        <f t="shared" si="3"/>
        <v>35367</v>
      </c>
    </row>
    <row r="82" spans="1:9" x14ac:dyDescent="0.3">
      <c r="A82" s="1">
        <v>45586</v>
      </c>
      <c r="B82" t="s">
        <v>34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f t="shared" si="2"/>
        <v>262</v>
      </c>
      <c r="I82">
        <f t="shared" si="3"/>
        <v>48004</v>
      </c>
    </row>
    <row r="83" spans="1:9" x14ac:dyDescent="0.3">
      <c r="A83" s="1">
        <v>45586</v>
      </c>
      <c r="B83" t="s">
        <v>41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f t="shared" si="2"/>
        <v>439</v>
      </c>
      <c r="I83">
        <f t="shared" si="3"/>
        <v>35557</v>
      </c>
    </row>
    <row r="84" spans="1:9" x14ac:dyDescent="0.3">
      <c r="A84" s="1">
        <v>45586</v>
      </c>
      <c r="B84" t="s">
        <v>17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f t="shared" si="2"/>
        <v>636</v>
      </c>
      <c r="I84">
        <f t="shared" si="3"/>
        <v>41177</v>
      </c>
    </row>
    <row r="85" spans="1:9" x14ac:dyDescent="0.3">
      <c r="A85" s="1">
        <v>45586</v>
      </c>
      <c r="B85" t="s">
        <v>367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f t="shared" si="2"/>
        <v>1484</v>
      </c>
      <c r="I85">
        <f t="shared" si="3"/>
        <v>35367</v>
      </c>
    </row>
    <row r="86" spans="1:9" x14ac:dyDescent="0.3">
      <c r="A86" s="1">
        <v>45593</v>
      </c>
      <c r="B86" t="s">
        <v>34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f t="shared" si="2"/>
        <v>576</v>
      </c>
      <c r="I86">
        <f t="shared" si="3"/>
        <v>48004</v>
      </c>
    </row>
    <row r="87" spans="1:9" x14ac:dyDescent="0.3">
      <c r="A87" s="1">
        <v>45593</v>
      </c>
      <c r="B87" t="s">
        <v>41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f t="shared" si="2"/>
        <v>386</v>
      </c>
      <c r="I87">
        <f t="shared" si="3"/>
        <v>35557</v>
      </c>
    </row>
    <row r="88" spans="1:9" x14ac:dyDescent="0.3">
      <c r="A88" s="1">
        <v>45593</v>
      </c>
      <c r="B88" t="s">
        <v>17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f t="shared" si="2"/>
        <v>37</v>
      </c>
      <c r="I88">
        <f t="shared" si="3"/>
        <v>41177</v>
      </c>
    </row>
    <row r="89" spans="1:9" x14ac:dyDescent="0.3">
      <c r="A89" s="1">
        <v>45593</v>
      </c>
      <c r="B89" t="s">
        <v>367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f t="shared" si="2"/>
        <v>1657</v>
      </c>
      <c r="I89">
        <f t="shared" si="3"/>
        <v>35367</v>
      </c>
    </row>
    <row r="90" spans="1:9" x14ac:dyDescent="0.3">
      <c r="A90" s="1">
        <v>45600</v>
      </c>
      <c r="B90" t="s">
        <v>34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f t="shared" si="2"/>
        <v>1397</v>
      </c>
      <c r="I90">
        <f t="shared" si="3"/>
        <v>48004</v>
      </c>
    </row>
    <row r="91" spans="1:9" x14ac:dyDescent="0.3">
      <c r="A91" s="1">
        <v>45600</v>
      </c>
      <c r="B91" t="s">
        <v>41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f t="shared" si="2"/>
        <v>540</v>
      </c>
      <c r="I91">
        <f t="shared" si="3"/>
        <v>35557</v>
      </c>
    </row>
    <row r="92" spans="1:9" x14ac:dyDescent="0.3">
      <c r="A92" s="1">
        <v>45600</v>
      </c>
      <c r="B92" t="s">
        <v>17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f t="shared" si="2"/>
        <v>1603</v>
      </c>
      <c r="I92">
        <f t="shared" si="3"/>
        <v>41177</v>
      </c>
    </row>
    <row r="93" spans="1:9" x14ac:dyDescent="0.3">
      <c r="A93" s="1">
        <v>45600</v>
      </c>
      <c r="B93" t="s">
        <v>367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f t="shared" si="2"/>
        <v>1044</v>
      </c>
      <c r="I93">
        <f t="shared" si="3"/>
        <v>35367</v>
      </c>
    </row>
    <row r="94" spans="1:9" x14ac:dyDescent="0.3">
      <c r="A94" s="1">
        <v>45607</v>
      </c>
      <c r="B94" t="s">
        <v>34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f t="shared" si="2"/>
        <v>902</v>
      </c>
      <c r="I94">
        <f t="shared" si="3"/>
        <v>48004</v>
      </c>
    </row>
    <row r="95" spans="1:9" x14ac:dyDescent="0.3">
      <c r="A95" s="1">
        <v>45607</v>
      </c>
      <c r="B95" t="s">
        <v>41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f t="shared" si="2"/>
        <v>-106</v>
      </c>
      <c r="I95">
        <f t="shared" si="3"/>
        <v>35557</v>
      </c>
    </row>
    <row r="96" spans="1:9" x14ac:dyDescent="0.3">
      <c r="A96" s="1">
        <v>45607</v>
      </c>
      <c r="B96" t="s">
        <v>17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f t="shared" si="2"/>
        <v>1150</v>
      </c>
      <c r="I96">
        <f t="shared" si="3"/>
        <v>41177</v>
      </c>
    </row>
    <row r="97" spans="1:9" x14ac:dyDescent="0.3">
      <c r="A97" s="1">
        <v>45607</v>
      </c>
      <c r="B97" t="s">
        <v>367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f t="shared" si="2"/>
        <v>349</v>
      </c>
      <c r="I97">
        <f t="shared" si="3"/>
        <v>35367</v>
      </c>
    </row>
    <row r="98" spans="1:9" x14ac:dyDescent="0.3">
      <c r="A98" s="1">
        <v>45614</v>
      </c>
      <c r="B98" t="s">
        <v>34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f t="shared" si="2"/>
        <v>-49</v>
      </c>
      <c r="I98">
        <f t="shared" si="3"/>
        <v>48004</v>
      </c>
    </row>
    <row r="99" spans="1:9" x14ac:dyDescent="0.3">
      <c r="A99" s="1">
        <v>45614</v>
      </c>
      <c r="B99" t="s">
        <v>41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f t="shared" si="2"/>
        <v>72</v>
      </c>
      <c r="I99">
        <f t="shared" si="3"/>
        <v>35557</v>
      </c>
    </row>
    <row r="100" spans="1:9" x14ac:dyDescent="0.3">
      <c r="A100" s="1">
        <v>45614</v>
      </c>
      <c r="B100" t="s">
        <v>17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f t="shared" si="2"/>
        <v>445</v>
      </c>
      <c r="I100">
        <f t="shared" si="3"/>
        <v>41177</v>
      </c>
    </row>
    <row r="101" spans="1:9" x14ac:dyDescent="0.3">
      <c r="A101" s="1">
        <v>45614</v>
      </c>
      <c r="B101" t="s">
        <v>367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f t="shared" si="2"/>
        <v>60</v>
      </c>
      <c r="I101">
        <f t="shared" si="3"/>
        <v>35367</v>
      </c>
    </row>
    <row r="102" spans="1:9" x14ac:dyDescent="0.3">
      <c r="A102" s="1">
        <v>45621</v>
      </c>
      <c r="B102" t="s">
        <v>34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f t="shared" si="2"/>
        <v>1693</v>
      </c>
      <c r="I102">
        <f t="shared" si="3"/>
        <v>48004</v>
      </c>
    </row>
    <row r="103" spans="1:9" x14ac:dyDescent="0.3">
      <c r="A103" s="1">
        <v>45621</v>
      </c>
      <c r="B103" t="s">
        <v>41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f t="shared" si="2"/>
        <v>1332</v>
      </c>
      <c r="I103">
        <f t="shared" si="3"/>
        <v>35557</v>
      </c>
    </row>
    <row r="104" spans="1:9" x14ac:dyDescent="0.3">
      <c r="A104" s="1">
        <v>45621</v>
      </c>
      <c r="B104" t="s">
        <v>17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f t="shared" si="2"/>
        <v>98</v>
      </c>
      <c r="I104">
        <f t="shared" si="3"/>
        <v>41177</v>
      </c>
    </row>
    <row r="105" spans="1:9" x14ac:dyDescent="0.3">
      <c r="A105" s="1">
        <v>45621</v>
      </c>
      <c r="B105" t="s">
        <v>367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f t="shared" si="2"/>
        <v>885</v>
      </c>
      <c r="I105">
        <f t="shared" si="3"/>
        <v>35367</v>
      </c>
    </row>
    <row r="106" spans="1:9" x14ac:dyDescent="0.3">
      <c r="A106" s="1">
        <v>45628</v>
      </c>
      <c r="B106" t="s">
        <v>34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f t="shared" si="2"/>
        <v>1625</v>
      </c>
      <c r="I106">
        <f t="shared" si="3"/>
        <v>48004</v>
      </c>
    </row>
    <row r="107" spans="1:9" x14ac:dyDescent="0.3">
      <c r="A107" s="1">
        <v>45628</v>
      </c>
      <c r="B107" t="s">
        <v>41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f t="shared" si="2"/>
        <v>1706</v>
      </c>
      <c r="I107">
        <f t="shared" si="3"/>
        <v>35557</v>
      </c>
    </row>
    <row r="108" spans="1:9" x14ac:dyDescent="0.3">
      <c r="A108" s="1">
        <v>45628</v>
      </c>
      <c r="B108" t="s">
        <v>17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f t="shared" si="2"/>
        <v>1173</v>
      </c>
      <c r="I108">
        <f t="shared" si="3"/>
        <v>41177</v>
      </c>
    </row>
    <row r="109" spans="1:9" x14ac:dyDescent="0.3">
      <c r="A109" s="1">
        <v>45628</v>
      </c>
      <c r="B109" t="s">
        <v>367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f t="shared" si="2"/>
        <v>291</v>
      </c>
      <c r="I109">
        <f t="shared" si="3"/>
        <v>35367</v>
      </c>
    </row>
    <row r="110" spans="1:9" x14ac:dyDescent="0.3">
      <c r="A110" s="1">
        <v>45635</v>
      </c>
      <c r="B110" t="s">
        <v>34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f t="shared" si="2"/>
        <v>1119</v>
      </c>
      <c r="I110">
        <f t="shared" si="3"/>
        <v>48004</v>
      </c>
    </row>
    <row r="111" spans="1:9" x14ac:dyDescent="0.3">
      <c r="A111" s="1">
        <v>45635</v>
      </c>
      <c r="B111" t="s">
        <v>41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f t="shared" si="2"/>
        <v>1373</v>
      </c>
      <c r="I111">
        <f t="shared" si="3"/>
        <v>35557</v>
      </c>
    </row>
    <row r="112" spans="1:9" x14ac:dyDescent="0.3">
      <c r="A112" s="1">
        <v>45635</v>
      </c>
      <c r="B112" t="s">
        <v>17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f t="shared" si="2"/>
        <v>1727</v>
      </c>
      <c r="I112">
        <f t="shared" si="3"/>
        <v>41177</v>
      </c>
    </row>
    <row r="113" spans="1:9" x14ac:dyDescent="0.3">
      <c r="A113" s="1">
        <v>45635</v>
      </c>
      <c r="B113" t="s">
        <v>367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f t="shared" si="2"/>
        <v>573</v>
      </c>
      <c r="I113">
        <f t="shared" si="3"/>
        <v>35367</v>
      </c>
    </row>
    <row r="114" spans="1:9" x14ac:dyDescent="0.3">
      <c r="A114" s="1">
        <v>45642</v>
      </c>
      <c r="B114" t="s">
        <v>34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f t="shared" si="2"/>
        <v>1432</v>
      </c>
      <c r="I114">
        <f t="shared" si="3"/>
        <v>48004</v>
      </c>
    </row>
    <row r="115" spans="1:9" x14ac:dyDescent="0.3">
      <c r="A115" s="1">
        <v>45642</v>
      </c>
      <c r="B115" t="s">
        <v>41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f t="shared" si="2"/>
        <v>1377</v>
      </c>
      <c r="I115">
        <f t="shared" si="3"/>
        <v>35557</v>
      </c>
    </row>
    <row r="116" spans="1:9" x14ac:dyDescent="0.3">
      <c r="A116" s="1">
        <v>45642</v>
      </c>
      <c r="B116" t="s">
        <v>17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f t="shared" si="2"/>
        <v>1359</v>
      </c>
      <c r="I116">
        <f t="shared" si="3"/>
        <v>41177</v>
      </c>
    </row>
    <row r="117" spans="1:9" x14ac:dyDescent="0.3">
      <c r="A117" s="1">
        <v>45642</v>
      </c>
      <c r="B117" t="s">
        <v>367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f t="shared" si="2"/>
        <v>876</v>
      </c>
      <c r="I117">
        <f t="shared" si="3"/>
        <v>35367</v>
      </c>
    </row>
    <row r="118" spans="1:9" x14ac:dyDescent="0.3">
      <c r="A118" s="1">
        <v>45649</v>
      </c>
      <c r="B118" t="s">
        <v>34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f t="shared" si="2"/>
        <v>684</v>
      </c>
      <c r="I118">
        <f t="shared" si="3"/>
        <v>48004</v>
      </c>
    </row>
    <row r="119" spans="1:9" x14ac:dyDescent="0.3">
      <c r="A119" s="1">
        <v>45649</v>
      </c>
      <c r="B119" t="s">
        <v>41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f t="shared" si="2"/>
        <v>730</v>
      </c>
      <c r="I119">
        <f t="shared" si="3"/>
        <v>35557</v>
      </c>
    </row>
    <row r="120" spans="1:9" x14ac:dyDescent="0.3">
      <c r="A120" s="1">
        <v>45649</v>
      </c>
      <c r="B120" t="s">
        <v>17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f t="shared" si="2"/>
        <v>911</v>
      </c>
      <c r="I120">
        <f t="shared" si="3"/>
        <v>41177</v>
      </c>
    </row>
    <row r="121" spans="1:9" x14ac:dyDescent="0.3">
      <c r="A121" s="1">
        <v>45649</v>
      </c>
      <c r="B121" t="s">
        <v>367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f t="shared" si="2"/>
        <v>1589</v>
      </c>
      <c r="I121">
        <f t="shared" si="3"/>
        <v>35367</v>
      </c>
    </row>
    <row r="122" spans="1:9" x14ac:dyDescent="0.3">
      <c r="A122" s="1">
        <v>45656</v>
      </c>
      <c r="B122" t="s">
        <v>34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f t="shared" si="2"/>
        <v>1765</v>
      </c>
      <c r="I122">
        <f t="shared" si="3"/>
        <v>48004</v>
      </c>
    </row>
    <row r="123" spans="1:9" x14ac:dyDescent="0.3">
      <c r="A123" s="1">
        <v>45656</v>
      </c>
      <c r="B123" t="s">
        <v>41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f t="shared" si="2"/>
        <v>1776</v>
      </c>
      <c r="I123">
        <f t="shared" si="3"/>
        <v>35557</v>
      </c>
    </row>
    <row r="124" spans="1:9" x14ac:dyDescent="0.3">
      <c r="A124" s="1">
        <v>45656</v>
      </c>
      <c r="B124" t="s">
        <v>17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f t="shared" si="2"/>
        <v>1529</v>
      </c>
      <c r="I124">
        <f t="shared" si="3"/>
        <v>41177</v>
      </c>
    </row>
    <row r="125" spans="1:9" x14ac:dyDescent="0.3">
      <c r="A125" s="1">
        <v>45656</v>
      </c>
      <c r="B125" t="s">
        <v>367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f t="shared" si="2"/>
        <v>1460</v>
      </c>
      <c r="I125">
        <f t="shared" si="3"/>
        <v>35367</v>
      </c>
    </row>
    <row r="126" spans="1:9" x14ac:dyDescent="0.3">
      <c r="A126" s="1">
        <v>45663</v>
      </c>
      <c r="B126" t="s">
        <v>34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f t="shared" si="2"/>
        <v>903</v>
      </c>
      <c r="I126">
        <f t="shared" si="3"/>
        <v>48004</v>
      </c>
    </row>
    <row r="127" spans="1:9" x14ac:dyDescent="0.3">
      <c r="A127" s="1">
        <v>45663</v>
      </c>
      <c r="B127" t="s">
        <v>41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f t="shared" si="2"/>
        <v>620</v>
      </c>
      <c r="I127">
        <f t="shared" si="3"/>
        <v>35557</v>
      </c>
    </row>
    <row r="128" spans="1:9" x14ac:dyDescent="0.3">
      <c r="A128" s="1">
        <v>45663</v>
      </c>
      <c r="B128" t="s">
        <v>17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f t="shared" si="2"/>
        <v>1188</v>
      </c>
      <c r="I128">
        <f t="shared" si="3"/>
        <v>41177</v>
      </c>
    </row>
    <row r="129" spans="1:9" x14ac:dyDescent="0.3">
      <c r="A129" s="1">
        <v>45663</v>
      </c>
      <c r="B129" t="s">
        <v>367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f t="shared" si="2"/>
        <v>846</v>
      </c>
      <c r="I129">
        <f t="shared" si="3"/>
        <v>35367</v>
      </c>
    </row>
    <row r="130" spans="1:9" x14ac:dyDescent="0.3">
      <c r="A130" s="1">
        <v>45670</v>
      </c>
      <c r="B130" t="s">
        <v>34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f t="shared" ref="H130:H193" si="4">C130-D130</f>
        <v>1722</v>
      </c>
      <c r="I130">
        <f t="shared" si="3"/>
        <v>48004</v>
      </c>
    </row>
    <row r="131" spans="1:9" x14ac:dyDescent="0.3">
      <c r="A131" s="1">
        <v>45670</v>
      </c>
      <c r="B131" t="s">
        <v>41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f t="shared" si="4"/>
        <v>298</v>
      </c>
      <c r="I131">
        <f t="shared" ref="I131:I194" si="5">SUMIF(B:B,B131,H:H)</f>
        <v>35557</v>
      </c>
    </row>
    <row r="132" spans="1:9" x14ac:dyDescent="0.3">
      <c r="A132" s="1">
        <v>45670</v>
      </c>
      <c r="B132" t="s">
        <v>17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f t="shared" si="4"/>
        <v>-144</v>
      </c>
      <c r="I132">
        <f t="shared" si="5"/>
        <v>41177</v>
      </c>
    </row>
    <row r="133" spans="1:9" x14ac:dyDescent="0.3">
      <c r="A133" s="1">
        <v>45670</v>
      </c>
      <c r="B133" t="s">
        <v>367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f t="shared" si="4"/>
        <v>901</v>
      </c>
      <c r="I133">
        <f t="shared" si="5"/>
        <v>35367</v>
      </c>
    </row>
    <row r="134" spans="1:9" x14ac:dyDescent="0.3">
      <c r="A134" s="1">
        <v>45677</v>
      </c>
      <c r="B134" t="s">
        <v>34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f t="shared" si="4"/>
        <v>1572</v>
      </c>
      <c r="I134">
        <f t="shared" si="5"/>
        <v>48004</v>
      </c>
    </row>
    <row r="135" spans="1:9" x14ac:dyDescent="0.3">
      <c r="A135" s="1">
        <v>45677</v>
      </c>
      <c r="B135" t="s">
        <v>41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f t="shared" si="4"/>
        <v>427</v>
      </c>
      <c r="I135">
        <f t="shared" si="5"/>
        <v>35557</v>
      </c>
    </row>
    <row r="136" spans="1:9" x14ac:dyDescent="0.3">
      <c r="A136" s="1">
        <v>45677</v>
      </c>
      <c r="B136" t="s">
        <v>17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 t="shared" si="4"/>
        <v>891</v>
      </c>
      <c r="I136">
        <f t="shared" si="5"/>
        <v>41177</v>
      </c>
    </row>
    <row r="137" spans="1:9" x14ac:dyDescent="0.3">
      <c r="A137" s="1">
        <v>45677</v>
      </c>
      <c r="B137" t="s">
        <v>367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f t="shared" si="4"/>
        <v>724</v>
      </c>
      <c r="I137">
        <f t="shared" si="5"/>
        <v>35367</v>
      </c>
    </row>
    <row r="138" spans="1:9" x14ac:dyDescent="0.3">
      <c r="A138" s="1">
        <v>45684</v>
      </c>
      <c r="B138" t="s">
        <v>34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f t="shared" si="4"/>
        <v>-166</v>
      </c>
      <c r="I138">
        <f t="shared" si="5"/>
        <v>48004</v>
      </c>
    </row>
    <row r="139" spans="1:9" x14ac:dyDescent="0.3">
      <c r="A139" s="1">
        <v>45684</v>
      </c>
      <c r="B139" t="s">
        <v>41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f t="shared" si="4"/>
        <v>898</v>
      </c>
      <c r="I139">
        <f t="shared" si="5"/>
        <v>35557</v>
      </c>
    </row>
    <row r="140" spans="1:9" x14ac:dyDescent="0.3">
      <c r="A140" s="1">
        <v>45684</v>
      </c>
      <c r="B140" t="s">
        <v>17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f t="shared" si="4"/>
        <v>1426</v>
      </c>
      <c r="I140">
        <f t="shared" si="5"/>
        <v>41177</v>
      </c>
    </row>
    <row r="141" spans="1:9" x14ac:dyDescent="0.3">
      <c r="A141" s="1">
        <v>45684</v>
      </c>
      <c r="B141" t="s">
        <v>367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f t="shared" si="4"/>
        <v>1225</v>
      </c>
      <c r="I141">
        <f t="shared" si="5"/>
        <v>35367</v>
      </c>
    </row>
    <row r="142" spans="1:9" x14ac:dyDescent="0.3">
      <c r="A142" s="1">
        <v>45691</v>
      </c>
      <c r="B142" t="s">
        <v>34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f t="shared" si="4"/>
        <v>1080</v>
      </c>
      <c r="I142">
        <f t="shared" si="5"/>
        <v>48004</v>
      </c>
    </row>
    <row r="143" spans="1:9" x14ac:dyDescent="0.3">
      <c r="A143" s="1">
        <v>45691</v>
      </c>
      <c r="B143" t="s">
        <v>41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f t="shared" si="4"/>
        <v>748</v>
      </c>
      <c r="I143">
        <f t="shared" si="5"/>
        <v>35557</v>
      </c>
    </row>
    <row r="144" spans="1:9" x14ac:dyDescent="0.3">
      <c r="A144" s="1">
        <v>45691</v>
      </c>
      <c r="B144" t="s">
        <v>17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f t="shared" si="4"/>
        <v>569</v>
      </c>
      <c r="I144">
        <f t="shared" si="5"/>
        <v>41177</v>
      </c>
    </row>
    <row r="145" spans="1:9" x14ac:dyDescent="0.3">
      <c r="A145" s="1">
        <v>45691</v>
      </c>
      <c r="B145" t="s">
        <v>367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f t="shared" si="4"/>
        <v>-203</v>
      </c>
      <c r="I145">
        <f t="shared" si="5"/>
        <v>35367</v>
      </c>
    </row>
    <row r="146" spans="1:9" x14ac:dyDescent="0.3">
      <c r="A146" s="1">
        <v>45698</v>
      </c>
      <c r="B146" t="s">
        <v>34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f t="shared" si="4"/>
        <v>1723</v>
      </c>
      <c r="I146">
        <f t="shared" si="5"/>
        <v>48004</v>
      </c>
    </row>
    <row r="147" spans="1:9" x14ac:dyDescent="0.3">
      <c r="A147" s="1">
        <v>45698</v>
      </c>
      <c r="B147" t="s">
        <v>41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f t="shared" si="4"/>
        <v>912</v>
      </c>
      <c r="I147">
        <f t="shared" si="5"/>
        <v>35557</v>
      </c>
    </row>
    <row r="148" spans="1:9" x14ac:dyDescent="0.3">
      <c r="A148" s="1">
        <v>45698</v>
      </c>
      <c r="B148" t="s">
        <v>17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f t="shared" si="4"/>
        <v>1202</v>
      </c>
      <c r="I148">
        <f t="shared" si="5"/>
        <v>41177</v>
      </c>
    </row>
    <row r="149" spans="1:9" x14ac:dyDescent="0.3">
      <c r="A149" s="1">
        <v>45698</v>
      </c>
      <c r="B149" t="s">
        <v>367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f t="shared" si="4"/>
        <v>1444</v>
      </c>
      <c r="I149">
        <f t="shared" si="5"/>
        <v>35367</v>
      </c>
    </row>
    <row r="150" spans="1:9" x14ac:dyDescent="0.3">
      <c r="A150" s="1">
        <v>45705</v>
      </c>
      <c r="B150" t="s">
        <v>34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f t="shared" si="4"/>
        <v>965</v>
      </c>
      <c r="I150">
        <f t="shared" si="5"/>
        <v>48004</v>
      </c>
    </row>
    <row r="151" spans="1:9" x14ac:dyDescent="0.3">
      <c r="A151" s="1">
        <v>45705</v>
      </c>
      <c r="B151" t="s">
        <v>41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f t="shared" si="4"/>
        <v>1590</v>
      </c>
      <c r="I151">
        <f t="shared" si="5"/>
        <v>35557</v>
      </c>
    </row>
    <row r="152" spans="1:9" x14ac:dyDescent="0.3">
      <c r="A152" s="1">
        <v>45705</v>
      </c>
      <c r="B152" t="s">
        <v>17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f t="shared" si="4"/>
        <v>-37</v>
      </c>
      <c r="I152">
        <f t="shared" si="5"/>
        <v>41177</v>
      </c>
    </row>
    <row r="153" spans="1:9" x14ac:dyDescent="0.3">
      <c r="A153" s="1">
        <v>45705</v>
      </c>
      <c r="B153" t="s">
        <v>367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f t="shared" si="4"/>
        <v>1175</v>
      </c>
      <c r="I153">
        <f t="shared" si="5"/>
        <v>35367</v>
      </c>
    </row>
    <row r="154" spans="1:9" x14ac:dyDescent="0.3">
      <c r="A154" s="1">
        <v>45712</v>
      </c>
      <c r="B154" t="s">
        <v>34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f t="shared" si="4"/>
        <v>1375</v>
      </c>
      <c r="I154">
        <f t="shared" si="5"/>
        <v>48004</v>
      </c>
    </row>
    <row r="155" spans="1:9" x14ac:dyDescent="0.3">
      <c r="A155" s="1">
        <v>45712</v>
      </c>
      <c r="B155" t="s">
        <v>41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f t="shared" si="4"/>
        <v>1707</v>
      </c>
      <c r="I155">
        <f t="shared" si="5"/>
        <v>35557</v>
      </c>
    </row>
    <row r="156" spans="1:9" x14ac:dyDescent="0.3">
      <c r="A156" s="1">
        <v>45712</v>
      </c>
      <c r="B156" t="s">
        <v>17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f t="shared" si="4"/>
        <v>708</v>
      </c>
      <c r="I156">
        <f t="shared" si="5"/>
        <v>41177</v>
      </c>
    </row>
    <row r="157" spans="1:9" x14ac:dyDescent="0.3">
      <c r="A157" s="1">
        <v>45712</v>
      </c>
      <c r="B157" t="s">
        <v>367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f t="shared" si="4"/>
        <v>1016</v>
      </c>
      <c r="I157">
        <f t="shared" si="5"/>
        <v>35367</v>
      </c>
    </row>
    <row r="158" spans="1:9" x14ac:dyDescent="0.3">
      <c r="A158" s="1">
        <v>45719</v>
      </c>
      <c r="B158" t="s">
        <v>34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f t="shared" si="4"/>
        <v>1315</v>
      </c>
      <c r="I158">
        <f t="shared" si="5"/>
        <v>48004</v>
      </c>
    </row>
    <row r="159" spans="1:9" x14ac:dyDescent="0.3">
      <c r="A159" s="1">
        <v>45719</v>
      </c>
      <c r="B159" t="s">
        <v>41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f t="shared" si="4"/>
        <v>-119</v>
      </c>
      <c r="I159">
        <f t="shared" si="5"/>
        <v>35557</v>
      </c>
    </row>
    <row r="160" spans="1:9" x14ac:dyDescent="0.3">
      <c r="A160" s="1">
        <v>45719</v>
      </c>
      <c r="B160" t="s">
        <v>17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f t="shared" si="4"/>
        <v>899</v>
      </c>
      <c r="I160">
        <f t="shared" si="5"/>
        <v>41177</v>
      </c>
    </row>
    <row r="161" spans="1:9" x14ac:dyDescent="0.3">
      <c r="A161" s="1">
        <v>45719</v>
      </c>
      <c r="B161" t="s">
        <v>367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f t="shared" si="4"/>
        <v>315</v>
      </c>
      <c r="I161">
        <f t="shared" si="5"/>
        <v>35367</v>
      </c>
    </row>
    <row r="162" spans="1:9" x14ac:dyDescent="0.3">
      <c r="A162" s="1">
        <v>45726</v>
      </c>
      <c r="B162" t="s">
        <v>34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f t="shared" si="4"/>
        <v>212</v>
      </c>
      <c r="I162">
        <f t="shared" si="5"/>
        <v>48004</v>
      </c>
    </row>
    <row r="163" spans="1:9" x14ac:dyDescent="0.3">
      <c r="A163" s="1">
        <v>45726</v>
      </c>
      <c r="B163" t="s">
        <v>41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f t="shared" si="4"/>
        <v>908</v>
      </c>
      <c r="I163">
        <f t="shared" si="5"/>
        <v>35557</v>
      </c>
    </row>
    <row r="164" spans="1:9" x14ac:dyDescent="0.3">
      <c r="A164" s="1">
        <v>45726</v>
      </c>
      <c r="B164" t="s">
        <v>17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f t="shared" si="4"/>
        <v>1350</v>
      </c>
      <c r="I164">
        <f t="shared" si="5"/>
        <v>41177</v>
      </c>
    </row>
    <row r="165" spans="1:9" x14ac:dyDescent="0.3">
      <c r="A165" s="1">
        <v>45726</v>
      </c>
      <c r="B165" t="s">
        <v>367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f t="shared" si="4"/>
        <v>1242</v>
      </c>
      <c r="I165">
        <f t="shared" si="5"/>
        <v>35367</v>
      </c>
    </row>
    <row r="166" spans="1:9" x14ac:dyDescent="0.3">
      <c r="A166" s="1">
        <v>45733</v>
      </c>
      <c r="B166" t="s">
        <v>34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f t="shared" si="4"/>
        <v>680</v>
      </c>
      <c r="I166">
        <f t="shared" si="5"/>
        <v>48004</v>
      </c>
    </row>
    <row r="167" spans="1:9" x14ac:dyDescent="0.3">
      <c r="A167" s="1">
        <v>45733</v>
      </c>
      <c r="B167" t="s">
        <v>41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f t="shared" si="4"/>
        <v>1116</v>
      </c>
      <c r="I167">
        <f t="shared" si="5"/>
        <v>35557</v>
      </c>
    </row>
    <row r="168" spans="1:9" x14ac:dyDescent="0.3">
      <c r="A168" s="1">
        <v>45733</v>
      </c>
      <c r="B168" t="s">
        <v>17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f t="shared" si="4"/>
        <v>861</v>
      </c>
      <c r="I168">
        <f t="shared" si="5"/>
        <v>41177</v>
      </c>
    </row>
    <row r="169" spans="1:9" x14ac:dyDescent="0.3">
      <c r="A169" s="1">
        <v>45733</v>
      </c>
      <c r="B169" t="s">
        <v>367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f t="shared" si="4"/>
        <v>1385</v>
      </c>
      <c r="I169">
        <f t="shared" si="5"/>
        <v>35367</v>
      </c>
    </row>
    <row r="170" spans="1:9" x14ac:dyDescent="0.3">
      <c r="A170" s="1">
        <v>45740</v>
      </c>
      <c r="B170" t="s">
        <v>34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f t="shared" si="4"/>
        <v>461</v>
      </c>
      <c r="I170">
        <f t="shared" si="5"/>
        <v>48004</v>
      </c>
    </row>
    <row r="171" spans="1:9" x14ac:dyDescent="0.3">
      <c r="A171" s="1">
        <v>45740</v>
      </c>
      <c r="B171" t="s">
        <v>41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f t="shared" si="4"/>
        <v>474</v>
      </c>
      <c r="I171">
        <f t="shared" si="5"/>
        <v>35557</v>
      </c>
    </row>
    <row r="172" spans="1:9" x14ac:dyDescent="0.3">
      <c r="A172" s="1">
        <v>45740</v>
      </c>
      <c r="B172" t="s">
        <v>17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f t="shared" si="4"/>
        <v>292</v>
      </c>
      <c r="I172">
        <f t="shared" si="5"/>
        <v>41177</v>
      </c>
    </row>
    <row r="173" spans="1:9" x14ac:dyDescent="0.3">
      <c r="A173" s="1">
        <v>45740</v>
      </c>
      <c r="B173" t="s">
        <v>367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f t="shared" si="4"/>
        <v>389</v>
      </c>
      <c r="I173">
        <f t="shared" si="5"/>
        <v>35367</v>
      </c>
    </row>
    <row r="174" spans="1:9" x14ac:dyDescent="0.3">
      <c r="A174" s="1">
        <v>45747</v>
      </c>
      <c r="B174" t="s">
        <v>34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f t="shared" si="4"/>
        <v>641</v>
      </c>
      <c r="I174">
        <f t="shared" si="5"/>
        <v>48004</v>
      </c>
    </row>
    <row r="175" spans="1:9" x14ac:dyDescent="0.3">
      <c r="A175" s="1">
        <v>45747</v>
      </c>
      <c r="B175" t="s">
        <v>41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f t="shared" si="4"/>
        <v>514</v>
      </c>
      <c r="I175">
        <f t="shared" si="5"/>
        <v>35557</v>
      </c>
    </row>
    <row r="176" spans="1:9" x14ac:dyDescent="0.3">
      <c r="A176" s="1">
        <v>45747</v>
      </c>
      <c r="B176" t="s">
        <v>17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f t="shared" si="4"/>
        <v>1676</v>
      </c>
      <c r="I176">
        <f t="shared" si="5"/>
        <v>41177</v>
      </c>
    </row>
    <row r="177" spans="1:9" x14ac:dyDescent="0.3">
      <c r="A177" s="1">
        <v>45747</v>
      </c>
      <c r="B177" t="s">
        <v>367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f t="shared" si="4"/>
        <v>1467</v>
      </c>
      <c r="I177">
        <f t="shared" si="5"/>
        <v>35367</v>
      </c>
    </row>
    <row r="178" spans="1:9" x14ac:dyDescent="0.3">
      <c r="A178" s="1">
        <v>45754</v>
      </c>
      <c r="B178" t="s">
        <v>34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f t="shared" si="4"/>
        <v>167</v>
      </c>
      <c r="I178">
        <f t="shared" si="5"/>
        <v>48004</v>
      </c>
    </row>
    <row r="179" spans="1:9" x14ac:dyDescent="0.3">
      <c r="A179" s="1">
        <v>45754</v>
      </c>
      <c r="B179" t="s">
        <v>41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f t="shared" si="4"/>
        <v>1029</v>
      </c>
      <c r="I179">
        <f t="shared" si="5"/>
        <v>35557</v>
      </c>
    </row>
    <row r="180" spans="1:9" x14ac:dyDescent="0.3">
      <c r="A180" s="1">
        <v>45754</v>
      </c>
      <c r="B180" t="s">
        <v>17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f t="shared" si="4"/>
        <v>1007</v>
      </c>
      <c r="I180">
        <f t="shared" si="5"/>
        <v>41177</v>
      </c>
    </row>
    <row r="181" spans="1:9" x14ac:dyDescent="0.3">
      <c r="A181" s="1">
        <v>45754</v>
      </c>
      <c r="B181" t="s">
        <v>367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f t="shared" si="4"/>
        <v>209</v>
      </c>
      <c r="I181">
        <f t="shared" si="5"/>
        <v>35367</v>
      </c>
    </row>
    <row r="182" spans="1:9" x14ac:dyDescent="0.3">
      <c r="A182" s="1">
        <v>45761</v>
      </c>
      <c r="B182" t="s">
        <v>34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f t="shared" si="4"/>
        <v>-160</v>
      </c>
      <c r="I182">
        <f t="shared" si="5"/>
        <v>48004</v>
      </c>
    </row>
    <row r="183" spans="1:9" x14ac:dyDescent="0.3">
      <c r="A183" s="1">
        <v>45761</v>
      </c>
      <c r="B183" t="s">
        <v>41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f t="shared" si="4"/>
        <v>-175</v>
      </c>
      <c r="I183">
        <f t="shared" si="5"/>
        <v>35557</v>
      </c>
    </row>
    <row r="184" spans="1:9" x14ac:dyDescent="0.3">
      <c r="A184" s="1">
        <v>45761</v>
      </c>
      <c r="B184" t="s">
        <v>17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f t="shared" si="4"/>
        <v>53</v>
      </c>
      <c r="I184">
        <f t="shared" si="5"/>
        <v>41177</v>
      </c>
    </row>
    <row r="185" spans="1:9" x14ac:dyDescent="0.3">
      <c r="A185" s="1">
        <v>45761</v>
      </c>
      <c r="B185" t="s">
        <v>367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f t="shared" si="4"/>
        <v>145</v>
      </c>
      <c r="I185">
        <f t="shared" si="5"/>
        <v>35367</v>
      </c>
    </row>
    <row r="186" spans="1:9" x14ac:dyDescent="0.3">
      <c r="A186" s="1">
        <v>45768</v>
      </c>
      <c r="B186" t="s">
        <v>34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f t="shared" si="4"/>
        <v>603</v>
      </c>
      <c r="I186">
        <f t="shared" si="5"/>
        <v>48004</v>
      </c>
    </row>
    <row r="187" spans="1:9" x14ac:dyDescent="0.3">
      <c r="A187" s="1">
        <v>45768</v>
      </c>
      <c r="B187" t="s">
        <v>41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f t="shared" si="4"/>
        <v>1045</v>
      </c>
      <c r="I187">
        <f t="shared" si="5"/>
        <v>35557</v>
      </c>
    </row>
    <row r="188" spans="1:9" x14ac:dyDescent="0.3">
      <c r="A188" s="1">
        <v>45768</v>
      </c>
      <c r="B188" t="s">
        <v>17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f t="shared" si="4"/>
        <v>759</v>
      </c>
      <c r="I188">
        <f t="shared" si="5"/>
        <v>41177</v>
      </c>
    </row>
    <row r="189" spans="1:9" x14ac:dyDescent="0.3">
      <c r="A189" s="1">
        <v>45768</v>
      </c>
      <c r="B189" t="s">
        <v>367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f t="shared" si="4"/>
        <v>1633</v>
      </c>
      <c r="I189">
        <f t="shared" si="5"/>
        <v>35367</v>
      </c>
    </row>
    <row r="190" spans="1:9" x14ac:dyDescent="0.3">
      <c r="A190" s="1">
        <v>45775</v>
      </c>
      <c r="B190" t="s">
        <v>34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f t="shared" si="4"/>
        <v>1539</v>
      </c>
      <c r="I190">
        <f t="shared" si="5"/>
        <v>48004</v>
      </c>
    </row>
    <row r="191" spans="1:9" x14ac:dyDescent="0.3">
      <c r="A191" s="1">
        <v>45775</v>
      </c>
      <c r="B191" t="s">
        <v>41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f t="shared" si="4"/>
        <v>453</v>
      </c>
      <c r="I191">
        <f t="shared" si="5"/>
        <v>35557</v>
      </c>
    </row>
    <row r="192" spans="1:9" x14ac:dyDescent="0.3">
      <c r="A192" s="1">
        <v>45775</v>
      </c>
      <c r="B192" t="s">
        <v>17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f t="shared" si="4"/>
        <v>948</v>
      </c>
      <c r="I192">
        <f t="shared" si="5"/>
        <v>41177</v>
      </c>
    </row>
    <row r="193" spans="1:9" x14ac:dyDescent="0.3">
      <c r="A193" s="1">
        <v>45775</v>
      </c>
      <c r="B193" t="s">
        <v>367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f t="shared" si="4"/>
        <v>637</v>
      </c>
      <c r="I193">
        <f t="shared" si="5"/>
        <v>35367</v>
      </c>
    </row>
    <row r="194" spans="1:9" x14ac:dyDescent="0.3">
      <c r="A194" s="1">
        <v>45782</v>
      </c>
      <c r="B194" t="s">
        <v>34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f t="shared" ref="H194:H201" si="6">C194-D194</f>
        <v>1881</v>
      </c>
      <c r="I194">
        <f t="shared" si="5"/>
        <v>48004</v>
      </c>
    </row>
    <row r="195" spans="1:9" x14ac:dyDescent="0.3">
      <c r="A195" s="1">
        <v>45782</v>
      </c>
      <c r="B195" t="s">
        <v>41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f t="shared" si="6"/>
        <v>339</v>
      </c>
      <c r="I195">
        <f t="shared" ref="I195:I201" si="7">SUMIF(B:B,B195,H:H)</f>
        <v>35557</v>
      </c>
    </row>
    <row r="196" spans="1:9" x14ac:dyDescent="0.3">
      <c r="A196" s="1">
        <v>45782</v>
      </c>
      <c r="B196" t="s">
        <v>17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f t="shared" si="6"/>
        <v>1510</v>
      </c>
      <c r="I196">
        <f t="shared" si="7"/>
        <v>41177</v>
      </c>
    </row>
    <row r="197" spans="1:9" x14ac:dyDescent="0.3">
      <c r="A197" s="1">
        <v>45782</v>
      </c>
      <c r="B197" t="s">
        <v>367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f t="shared" si="6"/>
        <v>864</v>
      </c>
      <c r="I197">
        <f t="shared" si="7"/>
        <v>35367</v>
      </c>
    </row>
    <row r="198" spans="1:9" x14ac:dyDescent="0.3">
      <c r="A198" s="1">
        <v>45789</v>
      </c>
      <c r="B198" t="s">
        <v>34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f t="shared" si="6"/>
        <v>1656</v>
      </c>
      <c r="I198">
        <f t="shared" si="7"/>
        <v>48004</v>
      </c>
    </row>
    <row r="199" spans="1:9" x14ac:dyDescent="0.3">
      <c r="A199" s="1">
        <v>45789</v>
      </c>
      <c r="B199" t="s">
        <v>41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f t="shared" si="6"/>
        <v>407</v>
      </c>
      <c r="I199">
        <f t="shared" si="7"/>
        <v>35557</v>
      </c>
    </row>
    <row r="200" spans="1:9" x14ac:dyDescent="0.3">
      <c r="A200" s="1">
        <v>45789</v>
      </c>
      <c r="B200" t="s">
        <v>17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f t="shared" si="6"/>
        <v>269</v>
      </c>
      <c r="I200">
        <f t="shared" si="7"/>
        <v>41177</v>
      </c>
    </row>
    <row r="201" spans="1:9" x14ac:dyDescent="0.3">
      <c r="A201" s="1">
        <v>45789</v>
      </c>
      <c r="B201" t="s">
        <v>367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 t="shared" si="6"/>
        <v>-337</v>
      </c>
      <c r="I201">
        <f t="shared" si="7"/>
        <v>35367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5FBA-9FBD-4479-B1A5-22C40B0EE25F}">
  <dimension ref="A1:G8"/>
  <sheetViews>
    <sheetView workbookViewId="0">
      <selection activeCell="F15" sqref="F15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5.109375" bestFit="1" customWidth="1"/>
    <col min="5" max="5" width="14.44140625" bestFit="1" customWidth="1"/>
    <col min="6" max="6" width="20.5546875" bestFit="1" customWidth="1"/>
    <col min="7" max="7" width="20.21875" bestFit="1" customWidth="1"/>
  </cols>
  <sheetData>
    <row r="1" spans="1:7" x14ac:dyDescent="0.3">
      <c r="A1" t="s">
        <v>12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</row>
    <row r="2" spans="1:7" x14ac:dyDescent="0.3">
      <c r="A2" t="s">
        <v>21</v>
      </c>
      <c r="B2" s="1">
        <v>45458</v>
      </c>
      <c r="C2" s="1">
        <v>45488</v>
      </c>
      <c r="D2" t="s">
        <v>374</v>
      </c>
      <c r="E2">
        <v>150000</v>
      </c>
      <c r="F2" t="s">
        <v>375</v>
      </c>
      <c r="G2" t="s">
        <v>37</v>
      </c>
    </row>
    <row r="3" spans="1:7" x14ac:dyDescent="0.3">
      <c r="A3" t="s">
        <v>21</v>
      </c>
      <c r="B3" s="1">
        <v>45458</v>
      </c>
      <c r="C3" s="1">
        <v>45488</v>
      </c>
      <c r="D3" t="s">
        <v>374</v>
      </c>
      <c r="E3">
        <v>150000</v>
      </c>
      <c r="F3" t="s">
        <v>375</v>
      </c>
      <c r="G3" t="s">
        <v>26</v>
      </c>
    </row>
    <row r="4" spans="1:7" x14ac:dyDescent="0.3">
      <c r="A4" t="s">
        <v>27</v>
      </c>
      <c r="B4" s="1">
        <v>45566</v>
      </c>
      <c r="C4" s="1">
        <v>45596</v>
      </c>
      <c r="D4" t="s">
        <v>376</v>
      </c>
      <c r="E4">
        <v>200000</v>
      </c>
      <c r="F4" t="s">
        <v>377</v>
      </c>
      <c r="G4" t="s">
        <v>22</v>
      </c>
    </row>
    <row r="5" spans="1:7" x14ac:dyDescent="0.3">
      <c r="A5" t="s">
        <v>27</v>
      </c>
      <c r="B5" s="1">
        <v>45566</v>
      </c>
      <c r="C5" s="1">
        <v>45596</v>
      </c>
      <c r="D5" t="s">
        <v>376</v>
      </c>
      <c r="E5">
        <v>200000</v>
      </c>
      <c r="F5" t="s">
        <v>377</v>
      </c>
      <c r="G5" t="s">
        <v>378</v>
      </c>
    </row>
    <row r="6" spans="1:7" x14ac:dyDescent="0.3">
      <c r="A6" t="s">
        <v>32</v>
      </c>
      <c r="B6" s="1">
        <v>45651</v>
      </c>
      <c r="C6" s="1">
        <v>45667</v>
      </c>
      <c r="D6" t="s">
        <v>379</v>
      </c>
      <c r="E6">
        <v>250000</v>
      </c>
      <c r="F6" t="s">
        <v>380</v>
      </c>
      <c r="G6" t="s">
        <v>199</v>
      </c>
    </row>
    <row r="7" spans="1:7" x14ac:dyDescent="0.3">
      <c r="A7" t="s">
        <v>38</v>
      </c>
      <c r="B7" s="1">
        <v>45717</v>
      </c>
      <c r="C7" s="1">
        <v>45747</v>
      </c>
      <c r="D7" t="s">
        <v>381</v>
      </c>
      <c r="E7">
        <v>180000</v>
      </c>
      <c r="F7" t="s">
        <v>382</v>
      </c>
      <c r="G7" t="s">
        <v>28</v>
      </c>
    </row>
    <row r="8" spans="1:7" x14ac:dyDescent="0.3">
      <c r="A8" t="s">
        <v>38</v>
      </c>
      <c r="B8" s="1">
        <v>45717</v>
      </c>
      <c r="C8" s="1">
        <v>45747</v>
      </c>
      <c r="D8" t="s">
        <v>381</v>
      </c>
      <c r="E8">
        <v>180000</v>
      </c>
      <c r="F8" t="s">
        <v>382</v>
      </c>
      <c r="G8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ECB4-CFBE-491C-A8E5-FDBCE8299D94}">
  <dimension ref="A1:I2"/>
  <sheetViews>
    <sheetView tabSelected="1" workbookViewId="0">
      <selection activeCell="A2" sqref="A2:XFD2"/>
    </sheetView>
  </sheetViews>
  <sheetFormatPr defaultRowHeight="14.4" x14ac:dyDescent="0.3"/>
  <cols>
    <col min="10" max="16384" width="8.88671875" style="2"/>
  </cols>
  <sheetData>
    <row r="1" spans="1:1" s="3" customFormat="1" ht="16.2" customHeight="1" x14ac:dyDescent="0.3"/>
    <row r="2" spans="1:1" s="4" customFormat="1" x14ac:dyDescent="0.3">
      <c r="A2" s="3" t="s">
        <v>383</v>
      </c>
    </row>
  </sheetData>
  <mergeCells count="2">
    <mergeCell ref="A1:XFD1"/>
    <mergeCell ref="A2:XFD2"/>
  </mergeCells>
  <hyperlinks>
    <hyperlink ref="A2" r:id="rId1" xr:uid="{77EA8EA4-4ADA-44C7-9845-E61F244988A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050545-5E95-4324-9368-DD82AF182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2025-07-29T10:40:25Z</dcterms:created>
  <dcterms:modified xsi:type="dcterms:W3CDTF">2025-08-03T17:08:15Z</dcterms:modified>
</cp:coreProperties>
</file>